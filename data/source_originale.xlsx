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.alaoui\Desktop\"/>
    </mc:Choice>
  </mc:AlternateContent>
  <xr:revisionPtr revIDLastSave="0" documentId="13_ncr:1_{4D438EE1-0E11-433D-805E-8488CDB3055C}" xr6:coauthVersionLast="47" xr6:coauthVersionMax="47" xr10:uidLastSave="{00000000-0000-0000-0000-000000000000}"/>
  <bookViews>
    <workbookView xWindow="-120" yWindow="-120" windowWidth="29040" windowHeight="15720" tabRatio="747" xr2:uid="{00000000-000D-0000-FFFF-FFFF00000000}"/>
  </bookViews>
  <sheets>
    <sheet name="📊 Dashboard" sheetId="1" r:id="rId1"/>
    <sheet name="Inventaire" sheetId="2" state="hidden" r:id="rId2"/>
    <sheet name="📋 DocuTrace Lab" sheetId="3" r:id="rId3"/>
    <sheet name="📋 VigiUp" sheetId="4" r:id="rId4"/>
    <sheet name="📋 Moussanada" sheetId="5" r:id="rId5"/>
    <sheet name="📋 Sentinel" sheetId="6" r:id="rId6"/>
    <sheet name="📋 E-Services" sheetId="7" r:id="rId7"/>
    <sheet name="📋 GIMPS" sheetId="8" r:id="rId8"/>
    <sheet name="📋 Attestation Échantillons " sheetId="9" r:id="rId9"/>
    <sheet name="📋 e-RBI" sheetId="10" r:id="rId10"/>
    <sheet name="📋 Tarkhiss" sheetId="11" r:id="rId11"/>
    <sheet name="📋 Gestion de Délais" sheetId="12" r:id="rId12"/>
    <sheet name="📋 MA Tracker" sheetId="13" r:id="rId13"/>
    <sheet name="📋 Intranet Qualité" sheetId="14" r:id="rId14"/>
    <sheet name="📋 LIMS LabVantage" sheetId="15" r:id="rId15"/>
    <sheet name="🗺️ Légende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3" i="2"/>
  <c r="G12" i="2"/>
  <c r="K22" i="1" s="1"/>
  <c r="G11" i="2"/>
  <c r="G10" i="2"/>
  <c r="G9" i="2"/>
  <c r="G8" i="2"/>
  <c r="G7" i="2"/>
  <c r="K17" i="1" s="1"/>
  <c r="G6" i="2"/>
  <c r="G5" i="2"/>
  <c r="K15" i="1" s="1"/>
  <c r="G4" i="2"/>
  <c r="K14" i="1" s="1"/>
  <c r="G3" i="2"/>
  <c r="G2" i="2"/>
  <c r="B2" i="15"/>
  <c r="B2" i="14"/>
  <c r="B2" i="13"/>
  <c r="B2" i="12"/>
  <c r="B2" i="11"/>
  <c r="B2" i="10"/>
  <c r="B2" i="9"/>
  <c r="B2" i="8"/>
  <c r="B2" i="7"/>
  <c r="B2" i="6"/>
  <c r="B2" i="5"/>
  <c r="B2" i="4"/>
  <c r="B2" i="3"/>
  <c r="I14" i="2"/>
  <c r="G24" i="1" s="1"/>
  <c r="I13" i="2"/>
  <c r="G23" i="1" s="1"/>
  <c r="K12" i="2"/>
  <c r="I12" i="2"/>
  <c r="G22" i="1" s="1"/>
  <c r="D12" i="2"/>
  <c r="D22" i="1" s="1"/>
  <c r="K11" i="2"/>
  <c r="H21" i="1" s="1"/>
  <c r="I11" i="2"/>
  <c r="G21" i="1" s="1"/>
  <c r="D11" i="2"/>
  <c r="K10" i="2"/>
  <c r="H20" i="1" s="1"/>
  <c r="I10" i="2"/>
  <c r="D8" i="1" s="1"/>
  <c r="D10" i="2"/>
  <c r="K9" i="2"/>
  <c r="H19" i="1" s="1"/>
  <c r="I9" i="2"/>
  <c r="D9" i="2"/>
  <c r="D19" i="1" s="1"/>
  <c r="K8" i="2"/>
  <c r="I8" i="2"/>
  <c r="D8" i="2"/>
  <c r="D18" i="1" s="1"/>
  <c r="K7" i="2"/>
  <c r="H17" i="1" s="1"/>
  <c r="I7" i="2"/>
  <c r="D7" i="2"/>
  <c r="K6" i="2"/>
  <c r="I6" i="2"/>
  <c r="G16" i="1" s="1"/>
  <c r="D6" i="2"/>
  <c r="K5" i="2"/>
  <c r="I5" i="2"/>
  <c r="D5" i="2"/>
  <c r="D15" i="1" s="1"/>
  <c r="K4" i="2"/>
  <c r="I4" i="2"/>
  <c r="D4" i="2"/>
  <c r="D14" i="1" s="1"/>
  <c r="K3" i="2"/>
  <c r="H13" i="1" s="1"/>
  <c r="I3" i="2"/>
  <c r="G13" i="1" s="1"/>
  <c r="D3" i="2"/>
  <c r="K2" i="2"/>
  <c r="H12" i="1" s="1"/>
  <c r="I2" i="2"/>
  <c r="D2" i="2"/>
  <c r="M24" i="1"/>
  <c r="L24" i="1"/>
  <c r="K24" i="1"/>
  <c r="J24" i="1"/>
  <c r="I24" i="1"/>
  <c r="H24" i="1"/>
  <c r="F24" i="1"/>
  <c r="E24" i="1"/>
  <c r="D24" i="1"/>
  <c r="C24" i="1"/>
  <c r="B24" i="1"/>
  <c r="M23" i="1"/>
  <c r="L23" i="1"/>
  <c r="K23" i="1"/>
  <c r="J23" i="1"/>
  <c r="I23" i="1"/>
  <c r="H23" i="1"/>
  <c r="F23" i="1"/>
  <c r="E23" i="1"/>
  <c r="D23" i="1"/>
  <c r="C23" i="1"/>
  <c r="B23" i="1"/>
  <c r="M22" i="1"/>
  <c r="L22" i="1"/>
  <c r="J22" i="1"/>
  <c r="I22" i="1"/>
  <c r="H22" i="1"/>
  <c r="F22" i="1"/>
  <c r="E22" i="1"/>
  <c r="C22" i="1"/>
  <c r="B22" i="1"/>
  <c r="M21" i="1"/>
  <c r="L21" i="1"/>
  <c r="K21" i="1"/>
  <c r="J21" i="1"/>
  <c r="I21" i="1"/>
  <c r="F21" i="1"/>
  <c r="E21" i="1"/>
  <c r="D21" i="1"/>
  <c r="C21" i="1"/>
  <c r="B21" i="1"/>
  <c r="M20" i="1"/>
  <c r="L20" i="1"/>
  <c r="K20" i="1"/>
  <c r="J20" i="1"/>
  <c r="I20" i="1"/>
  <c r="F20" i="1"/>
  <c r="E20" i="1"/>
  <c r="D20" i="1"/>
  <c r="C20" i="1"/>
  <c r="B20" i="1"/>
  <c r="M19" i="1"/>
  <c r="L19" i="1"/>
  <c r="K19" i="1"/>
  <c r="J19" i="1"/>
  <c r="I19" i="1"/>
  <c r="G19" i="1"/>
  <c r="F19" i="1"/>
  <c r="E19" i="1"/>
  <c r="C19" i="1"/>
  <c r="B19" i="1"/>
  <c r="M18" i="1"/>
  <c r="L18" i="1"/>
  <c r="K18" i="1"/>
  <c r="J18" i="1"/>
  <c r="I18" i="1"/>
  <c r="H18" i="1"/>
  <c r="G18" i="1"/>
  <c r="F18" i="1"/>
  <c r="E18" i="1"/>
  <c r="C18" i="1"/>
  <c r="B18" i="1"/>
  <c r="M17" i="1"/>
  <c r="L17" i="1"/>
  <c r="J17" i="1"/>
  <c r="I17" i="1"/>
  <c r="G17" i="1"/>
  <c r="F17" i="1"/>
  <c r="E17" i="1"/>
  <c r="D17" i="1"/>
  <c r="C17" i="1"/>
  <c r="B17" i="1"/>
  <c r="M16" i="1"/>
  <c r="L16" i="1"/>
  <c r="K16" i="1"/>
  <c r="J16" i="1"/>
  <c r="I16" i="1"/>
  <c r="H16" i="1"/>
  <c r="F16" i="1"/>
  <c r="E16" i="1"/>
  <c r="D16" i="1"/>
  <c r="C16" i="1"/>
  <c r="B16" i="1"/>
  <c r="M15" i="1"/>
  <c r="L15" i="1"/>
  <c r="J15" i="1"/>
  <c r="I15" i="1"/>
  <c r="H15" i="1"/>
  <c r="G15" i="1"/>
  <c r="F15" i="1"/>
  <c r="E15" i="1"/>
  <c r="C15" i="1"/>
  <c r="B15" i="1"/>
  <c r="M14" i="1"/>
  <c r="L14" i="1"/>
  <c r="J14" i="1"/>
  <c r="I14" i="1"/>
  <c r="H14" i="1"/>
  <c r="G14" i="1"/>
  <c r="F14" i="1"/>
  <c r="E14" i="1"/>
  <c r="C14" i="1"/>
  <c r="B14" i="1"/>
  <c r="M13" i="1"/>
  <c r="L13" i="1"/>
  <c r="K13" i="1"/>
  <c r="J13" i="1"/>
  <c r="I13" i="1"/>
  <c r="F13" i="1"/>
  <c r="E13" i="1"/>
  <c r="D13" i="1"/>
  <c r="C13" i="1"/>
  <c r="B13" i="1"/>
  <c r="M12" i="1"/>
  <c r="L12" i="1"/>
  <c r="K12" i="1"/>
  <c r="J12" i="1"/>
  <c r="I12" i="1"/>
  <c r="G12" i="1"/>
  <c r="F12" i="1"/>
  <c r="E12" i="1"/>
  <c r="D12" i="1"/>
  <c r="C12" i="1"/>
  <c r="B12" i="1"/>
  <c r="J8" i="1"/>
  <c r="H8" i="1"/>
  <c r="B8" i="1"/>
  <c r="G20" i="1" l="1"/>
  <c r="F8" i="1"/>
</calcChain>
</file>

<file path=xl/sharedStrings.xml><?xml version="1.0" encoding="utf-8"?>
<sst xmlns="http://schemas.openxmlformats.org/spreadsheetml/2006/main" count="1430" uniqueCount="301">
  <si>
    <t>Vue consolidée — Mis à jour automatiquement depuis les feuilles applicatives</t>
  </si>
  <si>
    <t>Total Applications</t>
  </si>
  <si>
    <t>Catalogue (production)</t>
  </si>
  <si>
    <t>Pipeline (conception)</t>
  </si>
  <si>
    <t>Criticité Critique</t>
  </si>
  <si>
    <t>Criticité Élevée / Haute</t>
  </si>
  <si>
    <t>ID</t>
  </si>
  <si>
    <t>Application</t>
  </si>
  <si>
    <t>Catégorie</t>
  </si>
  <si>
    <t>Propriétaire</t>
  </si>
  <si>
    <t>Direction</t>
  </si>
  <si>
    <t>Statut Portfolio</t>
  </si>
  <si>
    <t>Criticité</t>
  </si>
  <si>
    <t>Hébergement</t>
  </si>
  <si>
    <t>Mode Dev</t>
  </si>
  <si>
    <t>Prestataire</t>
  </si>
  <si>
    <t>Dispo. Cible</t>
  </si>
  <si>
    <t>Données Sensibles</t>
  </si>
  <si>
    <t>Nom de l'application</t>
  </si>
  <si>
    <t>Type</t>
  </si>
  <si>
    <t>Périmètre / Domaine</t>
  </si>
  <si>
    <t>Mode de développement</t>
  </si>
  <si>
    <t>Date mise en production</t>
  </si>
  <si>
    <t>Statut</t>
  </si>
  <si>
    <t>Données traitées</t>
  </si>
  <si>
    <t>Technologies principales</t>
  </si>
  <si>
    <t>Maintenance</t>
  </si>
  <si>
    <t>Direction bénéficiaire</t>
  </si>
  <si>
    <t>Disponibilité</t>
  </si>
  <si>
    <t>RTO</t>
  </si>
  <si>
    <t>RPO</t>
  </si>
  <si>
    <t>APP-001</t>
  </si>
  <si>
    <t>DocuTrace Lab</t>
  </si>
  <si>
    <t>Suivi des impressions et traçabilité des documents imprimés</t>
  </si>
  <si>
    <t>Interne</t>
  </si>
  <si>
    <t>20/02/2026</t>
  </si>
  <si>
    <t>En projet</t>
  </si>
  <si>
    <t>MySQL</t>
  </si>
  <si>
    <t>On-prem</t>
  </si>
  <si>
    <t>Python, FastAPI, React</t>
  </si>
  <si>
    <t>DSID</t>
  </si>
  <si>
    <t>LNCM</t>
  </si>
  <si>
    <t>99%</t>
  </si>
  <si>
    <t>1 jour</t>
  </si>
  <si>
    <t>APP-002</t>
  </si>
  <si>
    <t>Suivi des effets indésirables des produits de santé</t>
  </si>
  <si>
    <t>20/01/2026</t>
  </si>
  <si>
    <t>MySQL 8.0</t>
  </si>
  <si>
    <t>Spring Boot 3.x, Java 17, React 18, TypeScript, MySQL 8.0</t>
  </si>
  <si>
    <t>Vigilance</t>
  </si>
  <si>
    <t>APP-004</t>
  </si>
  <si>
    <t>Moussanada</t>
  </si>
  <si>
    <t>Helpdesk IT — gestion des tickets incidents et demandes</t>
  </si>
  <si>
    <t>03/2026</t>
  </si>
  <si>
    <t>En production</t>
  </si>
  <si>
    <t>-</t>
  </si>
  <si>
    <t>GLPi</t>
  </si>
  <si>
    <t>Aucune</t>
  </si>
  <si>
    <t>AMMPS</t>
  </si>
  <si>
    <t>APP-005</t>
  </si>
  <si>
    <t>Sentinel</t>
  </si>
  <si>
    <t>Signalement et gestion des problèmes liés aux médicaments sur le marché</t>
  </si>
  <si>
    <t>25/02/2026</t>
  </si>
  <si>
    <t>React, SpringBoot, MySQL</t>
  </si>
  <si>
    <t>Surveillance Post-Marketing</t>
  </si>
  <si>
    <t>APP-006</t>
  </si>
  <si>
    <t>E-Services</t>
  </si>
  <si>
    <t>Gestion des demandes d'import, autorisation de fabrication locale, et négativité</t>
  </si>
  <si>
    <t>Digital Performance</t>
  </si>
  <si>
    <t>Legacy</t>
  </si>
  <si>
    <t>Cloud</t>
  </si>
  <si>
    <t>PHP, jQuery, AJAX, MySQL</t>
  </si>
  <si>
    <t>Curative</t>
  </si>
  <si>
    <t>Dispositif Médical</t>
  </si>
  <si>
    <t>72 heures</t>
  </si>
  <si>
    <t>APP-007</t>
  </si>
  <si>
    <t>GIMPS</t>
  </si>
  <si>
    <t>Suivi et traitement des demandes d'autorisation des produits de santé</t>
  </si>
  <si>
    <t>Nevolys</t>
  </si>
  <si>
    <t>Textuelle, PDF, img, SQL</t>
  </si>
  <si>
    <t>SQL Server, .NET</t>
  </si>
  <si>
    <t>DMP</t>
  </si>
  <si>
    <t>Réception, Finances, Évaluation, Inspection</t>
  </si>
  <si>
    <t>APP-009</t>
  </si>
  <si>
    <t>Attestation Échantillons Médicaux</t>
  </si>
  <si>
    <t>Gestion des attestations pour le port des échantillons médicaux</t>
  </si>
  <si>
    <t>Données personnelles</t>
  </si>
  <si>
    <t>Apache v2.4.58, PHP v5.6.30, SQL Server, jQuery v1.11.3</t>
  </si>
  <si>
    <t>APP-014</t>
  </si>
  <si>
    <t>e-RBI</t>
  </si>
  <si>
    <t>Demande d'autorisation de recherche biomédicale</t>
  </si>
  <si>
    <t>ONE TECHNOLOGY</t>
  </si>
  <si>
    <t>Données confidentielles, données sensibles</t>
  </si>
  <si>
    <t>HammerJS, Typeahead.js, jQuery, Bootstrap 5, PHP, MySQL</t>
  </si>
  <si>
    <t>APP-015</t>
  </si>
  <si>
    <t>Tarkhiss</t>
  </si>
  <si>
    <t>Gestion et suivi du processus d'octroi des autorisations pour les médicaments</t>
  </si>
  <si>
    <t>CDG Incept / Ribatis</t>
  </si>
  <si>
    <t>02/2026</t>
  </si>
  <si>
    <t>En Projet</t>
  </si>
  <si>
    <t>Données personnelles, sensibles, confidentielles</t>
  </si>
  <si>
    <t>Karaz framework, Java</t>
  </si>
  <si>
    <t>CDG Incept</t>
  </si>
  <si>
    <t>APP-016</t>
  </si>
  <si>
    <t>Gestion de Délais</t>
  </si>
  <si>
    <t>Gestion des délais des attestations EPI</t>
  </si>
  <si>
    <t>01/05/2026</t>
  </si>
  <si>
    <t>Dates d'arrivée et délivrance des dossiers</t>
  </si>
  <si>
    <t>Java 17, Spring Boot 3.3.0, Node.js, React 18, MySQL 8.4.3</t>
  </si>
  <si>
    <t>Pôle Inspection</t>
  </si>
  <si>
    <t>24h</t>
  </si>
  <si>
    <t>APP-017</t>
  </si>
  <si>
    <t>MA Tracker</t>
  </si>
  <si>
    <t>Gestion des délais des AMM (Autorisations de Mise sur le Marché)</t>
  </si>
  <si>
    <t>Python, Tkinter, SQLite</t>
  </si>
  <si>
    <t>APP-018</t>
  </si>
  <si>
    <t>Intranet Qualité</t>
  </si>
  <si>
    <t>Métier</t>
  </si>
  <si>
    <t>Portail intranet dédié à la gestion de la qualité</t>
  </si>
  <si>
    <t>Pipeline</t>
  </si>
  <si>
    <t>Moyenne</t>
  </si>
  <si>
    <t>SharePoint</t>
  </si>
  <si>
    <t>Qualité</t>
  </si>
  <si>
    <t>APP-019</t>
  </si>
  <si>
    <t>LIMS LabVantage (Smart Lab)</t>
  </si>
  <si>
    <t>Système LIMS pour la gestion des analyses et données de laboratoire</t>
  </si>
  <si>
    <t>Acquisition</t>
  </si>
  <si>
    <t>LabVantage Solutions</t>
  </si>
  <si>
    <t>Critique</t>
  </si>
  <si>
    <t>Données confidentielles</t>
  </si>
  <si>
    <t>LabVantage LIMS, Java, Oracle DB</t>
  </si>
  <si>
    <t xml:space="preserve">  APP-001  ·  DocuTrace Lab</t>
  </si>
  <si>
    <t>Criticité : Moyenne</t>
  </si>
  <si>
    <t xml:space="preserve">  1 · Identification du service</t>
  </si>
  <si>
    <t>ID Service</t>
  </si>
  <si>
    <t>Date de création</t>
  </si>
  <si>
    <t xml:space="preserve">  2 · Proposition de valeur</t>
  </si>
  <si>
    <t>Objectif du service</t>
  </si>
  <si>
    <t>Problème métier résolu</t>
  </si>
  <si>
    <t>Suivi et traçabilité des documents imprimés</t>
  </si>
  <si>
    <t>Bénéfices attendus</t>
  </si>
  <si>
    <t>Facilité et sûreté de la traçabilité</t>
  </si>
  <si>
    <t>Parties prenantes</t>
  </si>
  <si>
    <t>DSID (Admin), LNCM (Évaluateurs, CS, CD, Tech PC + Bio)</t>
  </si>
  <si>
    <t xml:space="preserve">  3 · Description</t>
  </si>
  <si>
    <t>Description fonctionnelle</t>
  </si>
  <si>
    <t>Impression centralisée et gestion centralisée des documents</t>
  </si>
  <si>
    <t>Utilisateurs</t>
  </si>
  <si>
    <t>DSID (Administrateur), LNCM</t>
  </si>
  <si>
    <t>Processus supportés</t>
  </si>
  <si>
    <t>Processus de Saisie des Résultats des Analyses</t>
  </si>
  <si>
    <t>Fréquence d'utilisation</t>
  </si>
  <si>
    <t>Quotidien</t>
  </si>
  <si>
    <t xml:space="preserve">  4 · Architecture &amp; dépendances</t>
  </si>
  <si>
    <t>Stack technologique</t>
  </si>
  <si>
    <t>Infrastructure</t>
  </si>
  <si>
    <t>Windows 11</t>
  </si>
  <si>
    <t>Intégrations</t>
  </si>
  <si>
    <t>Sumatra, LibreOffice</t>
  </si>
  <si>
    <t xml:space="preserve">  5 · Sécurité &amp; conformité</t>
  </si>
  <si>
    <t>Données sensibles</t>
  </si>
  <si>
    <t>Non</t>
  </si>
  <si>
    <t>Réglementation</t>
  </si>
  <si>
    <t>ISO 9001 / ISO 17025</t>
  </si>
  <si>
    <t>Classification sécurité</t>
  </si>
  <si>
    <t>Basse</t>
  </si>
  <si>
    <t>Journalisation</t>
  </si>
  <si>
    <t>Oui</t>
  </si>
  <si>
    <t>Sauvegarde</t>
  </si>
  <si>
    <t xml:space="preserve">  6 · Performance &amp; SLA</t>
  </si>
  <si>
    <t>Disponibilité cible</t>
  </si>
  <si>
    <t>Support horaire</t>
  </si>
  <si>
    <t>Jours de travail</t>
  </si>
  <si>
    <t xml:space="preserve">  7 · Risques</t>
  </si>
  <si>
    <t>Risques principaux</t>
  </si>
  <si>
    <t>N/A</t>
  </si>
  <si>
    <t>Impact en cas d'arrêt</t>
  </si>
  <si>
    <t>Lenteur de saisie des analyses</t>
  </si>
  <si>
    <t>Plan de continuité (PCA)</t>
  </si>
  <si>
    <t>Plan de mitigation</t>
  </si>
  <si>
    <t xml:space="preserve">  8 · Cycle de vie</t>
  </si>
  <si>
    <t>Conception</t>
  </si>
  <si>
    <t>✔</t>
  </si>
  <si>
    <t>Déploiement</t>
  </si>
  <si>
    <t>Exploitation</t>
  </si>
  <si>
    <t>En cours</t>
  </si>
  <si>
    <t>Amélioration</t>
  </si>
  <si>
    <t>—</t>
  </si>
  <si>
    <t>Retrait</t>
  </si>
  <si>
    <t xml:space="preserve">  9 · Notes &amp; Amélioration continue</t>
  </si>
  <si>
    <t>Criticité : Critique</t>
  </si>
  <si>
    <t>Faciliter le suivi des effets indésirables</t>
  </si>
  <si>
    <t>Rapidité et facilité de suivi</t>
  </si>
  <si>
    <t>Service Vigilance, Citoyens</t>
  </si>
  <si>
    <t>Quotidienne</t>
  </si>
  <si>
    <t>Jours ouvrables</t>
  </si>
  <si>
    <t>Bugs</t>
  </si>
  <si>
    <t>Recueil manuel et physique</t>
  </si>
  <si>
    <t xml:space="preserve">  APP-004  ·  Moussanada</t>
  </si>
  <si>
    <t>Support</t>
  </si>
  <si>
    <t>Centraliser la gestion des incidents et demandes IT</t>
  </si>
  <si>
    <t>Traçabilité complète et réactivité du support IT</t>
  </si>
  <si>
    <t>DSID, AMMPS</t>
  </si>
  <si>
    <t>Gestion et suivi des tickets via GLPI</t>
  </si>
  <si>
    <t>DSID, Tous les utilisateurs AMMPS</t>
  </si>
  <si>
    <t>Support IT</t>
  </si>
  <si>
    <t xml:space="preserve">  APP-005  ·  Sentinel</t>
  </si>
  <si>
    <t>Traçabilité des réclamations, reporting, gestion des droits et accès</t>
  </si>
  <si>
    <t>Gain en productivité, sûreté de la base de données, facilité de gestion</t>
  </si>
  <si>
    <t>Surveillance Post-Marketing, Inspection, Directeur Général</t>
  </si>
  <si>
    <t>Suivi des défauts de qualité des médicaments avant consommation</t>
  </si>
  <si>
    <t>DSID (Admin), Chef de Service, Évaluateurs, Clients</t>
  </si>
  <si>
    <t>Processus de Déclaration des défauts de qualité</t>
  </si>
  <si>
    <t>À renseigner</t>
  </si>
  <si>
    <t>CNDP</t>
  </si>
  <si>
    <t>Haute</t>
  </si>
  <si>
    <t>À faire</t>
  </si>
  <si>
    <t xml:space="preserve">  APP-006  ·  E-Services</t>
  </si>
  <si>
    <t>Traçabilité BDD, facilité de remplissage clients, reporting, gestion des droits</t>
  </si>
  <si>
    <t>Gain en productivité, cohérence BDD, sécurité renforcée, gestion des réclamations</t>
  </si>
  <si>
    <t>Gestion des demandes d'import, fabrication locale et négativité</t>
  </si>
  <si>
    <t>Évaluateurs, Clients, Administrateur (DSID)</t>
  </si>
  <si>
    <t>Demande d'import, autorisation fabrication locale et négativité</t>
  </si>
  <si>
    <t>XAMP Apache</t>
  </si>
  <si>
    <t>BD sur Site</t>
  </si>
  <si>
    <t>Arrêt de production</t>
  </si>
  <si>
    <t xml:space="preserve">  APP-007  ·  GIMPS</t>
  </si>
  <si>
    <t>Digitaliser la gestion des circuits de traitement de l'agence</t>
  </si>
  <si>
    <t>Centraliser et digitaliser les circuits de travail</t>
  </si>
  <si>
    <t>DSID, Réception, Finances, Évaluation, Inspection</t>
  </si>
  <si>
    <t>Administrateur, Chef de Service, Évaluateur, Agent de Saisie</t>
  </si>
  <si>
    <t>Réception, Finances, Inspection et Évaluation</t>
  </si>
  <si>
    <t>Windows Server 2016 Standard v1607</t>
  </si>
  <si>
    <t>Technologie dépréciée</t>
  </si>
  <si>
    <t>Arrêt complet du travail</t>
  </si>
  <si>
    <t>Sauvegarde et restauration</t>
  </si>
  <si>
    <t xml:space="preserve">  APP-009  ·  Attestation Échantillons Médicaux</t>
  </si>
  <si>
    <t xml:space="preserve">  APP-014  ·  e-RBI</t>
  </si>
  <si>
    <t>Criticité : Élevée</t>
  </si>
  <si>
    <t>Élevée</t>
  </si>
  <si>
    <t>Demande d'autorisation de recherche biomédicale pour médicaments expérimentaux</t>
  </si>
  <si>
    <t>Recherche biomédicale</t>
  </si>
  <si>
    <t xml:space="preserve">  APP-015  ·  Tarkhiss</t>
  </si>
  <si>
    <t>Demande et suivi des autorisations pour les EPI (Établissements Pharmaceutiques et Industriels)</t>
  </si>
  <si>
    <t xml:space="preserve">  APP-016  ·  Gestion de Délais</t>
  </si>
  <si>
    <t>Éviter les retards et dépassements de délai</t>
  </si>
  <si>
    <t>Être toujours dans les délais</t>
  </si>
  <si>
    <t>DSID, Inspection</t>
  </si>
  <si>
    <t>Assurer le suivi des délais des dossiers fournis à l'AMMPS</t>
  </si>
  <si>
    <t>Respect et suivi des délais légaux</t>
  </si>
  <si>
    <t>Jours ouvrés</t>
  </si>
  <si>
    <t>Délai non comptabilisé correctement</t>
  </si>
  <si>
    <t>Retard au niveau du respect des délais</t>
  </si>
  <si>
    <t>Back-up</t>
  </si>
  <si>
    <t xml:space="preserve">  APP-017  ·  MA Tracker</t>
  </si>
  <si>
    <t>Criticité : -</t>
  </si>
  <si>
    <t>Suivi et gestion des délais liés aux AMM</t>
  </si>
  <si>
    <t xml:space="preserve">  APP-018  ·  Intranet Qualité</t>
  </si>
  <si>
    <t>Centraliser la documentation et les processus qualité</t>
  </si>
  <si>
    <t>Accessibilité et traçabilité documentaire</t>
  </si>
  <si>
    <t>DSID, Service Qualité</t>
  </si>
  <si>
    <t>Portail intranet de gestion documentaire qualité</t>
  </si>
  <si>
    <t>Personnel AMMPS</t>
  </si>
  <si>
    <t>Management de la Qualité</t>
  </si>
  <si>
    <t>Microsoft 365</t>
  </si>
  <si>
    <t xml:space="preserve">  APP-019  ·  LIMS LabVantage (Smart Lab)</t>
  </si>
  <si>
    <t>Centraliser et automatiser la gestion des données analytiques du laboratoire</t>
  </si>
  <si>
    <t>Traçabilité complète, conformité réglementaire, gain de productivité</t>
  </si>
  <si>
    <t>LNCM, DSID</t>
  </si>
  <si>
    <t>Gestion intégrée des échantillons, analyses, résultats et instruments de laboratoire</t>
  </si>
  <si>
    <t>Techniciens et responsables de laboratoire</t>
  </si>
  <si>
    <t>Analyses de laboratoire</t>
  </si>
  <si>
    <t>Serveur dédié</t>
  </si>
  <si>
    <t>ISO 17025</t>
  </si>
  <si>
    <t>Arrêt des analyses</t>
  </si>
  <si>
    <t>LÉGENDE &amp; RÉFÉRENTIELS</t>
  </si>
  <si>
    <t>STATUT PORTFOLIO</t>
  </si>
  <si>
    <t>Description</t>
  </si>
  <si>
    <t>Service en conception / développement</t>
  </si>
  <si>
    <t>Catalogue</t>
  </si>
  <si>
    <t>Service en production active</t>
  </si>
  <si>
    <t>Retraité</t>
  </si>
  <si>
    <t>Service retiré du portefeuille</t>
  </si>
  <si>
    <t>CRITICITÉ</t>
  </si>
  <si>
    <t>Impact majeur — arrêt total possible</t>
  </si>
  <si>
    <t>Haute / Élevée</t>
  </si>
  <si>
    <t>Impact important sur les opérations</t>
  </si>
  <si>
    <t>Impact modéré</t>
  </si>
  <si>
    <t>Faible</t>
  </si>
  <si>
    <t>Impact minimal</t>
  </si>
  <si>
    <t>STATUT PRODUCTION</t>
  </si>
  <si>
    <t>Déployé et utilisé</t>
  </si>
  <si>
    <t>En cours de développement / déploiement</t>
  </si>
  <si>
    <t>Obsolète / Arrêt</t>
  </si>
  <si>
    <t>Hors service</t>
  </si>
  <si>
    <t>DONNÉES SENSIBLES</t>
  </si>
  <si>
    <t>Contient des données personnelles / sensibles</t>
  </si>
  <si>
    <t>Pas de données sensibles</t>
  </si>
  <si>
    <t>VigiUp</t>
  </si>
  <si>
    <t xml:space="preserve">  APP-002  ·  VigiUp</t>
  </si>
  <si>
    <t>PORTEFEUILLE DE SERVICES SI — DSID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</si>
</sst>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b/>
      <sz val="9"/>
      <color rgb="FFFFFFFF"/>
      <name val="Arial"/>
      <charset val="1"/>
    </font>
    <font>
      <b/>
      <sz val="24"/>
      <color rgb="FF1A3A5C"/>
      <name val="Arial"/>
      <charset val="1"/>
    </font>
    <font>
      <b/>
      <sz val="24"/>
      <color rgb="FF27AE60"/>
      <name val="Arial"/>
      <charset val="1"/>
    </font>
    <font>
      <b/>
      <sz val="24"/>
      <color rgb="FF2E6DA4"/>
      <name val="Arial"/>
      <charset val="1"/>
    </font>
    <font>
      <b/>
      <sz val="24"/>
      <color rgb="FFC0392B"/>
      <name val="Arial"/>
      <charset val="1"/>
    </font>
    <font>
      <b/>
      <sz val="24"/>
      <color rgb="FFE67E22"/>
      <name val="Arial"/>
      <charset val="1"/>
    </font>
    <font>
      <sz val="9"/>
      <name val="Arial"/>
      <charset val="1"/>
    </font>
    <font>
      <sz val="9"/>
      <color rgb="FF333333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333333"/>
      <name val="Arial"/>
      <charset val="1"/>
    </font>
    <font>
      <sz val="8"/>
      <color rgb="FFFFFFFF"/>
      <name val="Cambria"/>
      <charset val="1"/>
    </font>
    <font>
      <b/>
      <sz val="14"/>
      <color rgb="FFFFFFFF"/>
      <name val="Arial"/>
      <charset val="1"/>
    </font>
    <font>
      <b/>
      <sz val="18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5F7FA"/>
        <bgColor rgb="FFFFFFFF"/>
      </patternFill>
    </fill>
    <fill>
      <patternFill patternType="solid">
        <fgColor rgb="FF27AE60"/>
        <bgColor rgb="FF008080"/>
      </patternFill>
    </fill>
    <fill>
      <patternFill patternType="solid">
        <fgColor rgb="FF2E6DA4"/>
        <bgColor rgb="FF3366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39C12"/>
      </patternFill>
    </fill>
    <fill>
      <patternFill patternType="solid">
        <fgColor rgb="FFFFFFFF"/>
        <bgColor rgb="FFF5F7FA"/>
      </patternFill>
    </fill>
    <fill>
      <patternFill patternType="solid">
        <fgColor rgb="FF7B2FBE"/>
        <bgColor rgb="FF993366"/>
      </patternFill>
    </fill>
    <fill>
      <patternFill patternType="solid">
        <fgColor rgb="FFF39C12"/>
        <bgColor rgb="FFE67E22"/>
      </patternFill>
    </fill>
    <fill>
      <patternFill patternType="solid">
        <fgColor rgb="FFD6E4F0"/>
        <bgColor rgb="FFCCFFFF"/>
      </patternFill>
    </fill>
    <fill>
      <patternFill patternType="solid">
        <fgColor rgb="FFCCCCCC"/>
        <bgColor rgb="FFBBBBBB"/>
      </patternFill>
    </fill>
    <fill>
      <patternFill patternType="solid">
        <fgColor rgb="FFFFE8E8"/>
        <bgColor rgb="FFF5F7FA"/>
      </patternFill>
    </fill>
    <fill>
      <patternFill patternType="solid">
        <fgColor rgb="FF999999"/>
        <bgColor rgb="FF808080"/>
      </patternFill>
    </fill>
    <fill>
      <patternFill patternType="solid">
        <fgColor theme="8" tint="-0.499984740745262"/>
        <bgColor rgb="FF993366"/>
      </patternFill>
    </fill>
  </fills>
  <borders count="20">
    <border>
      <left/>
      <right/>
      <top/>
      <bottom/>
      <diagonal/>
    </border>
    <border>
      <left style="medium">
        <color rgb="FF1A3A5C"/>
      </left>
      <right/>
      <top style="medium">
        <color rgb="FF1A3A5C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medium">
        <color rgb="FF1A3A5C"/>
      </top>
      <bottom/>
      <diagonal/>
    </border>
    <border>
      <left style="medium">
        <color rgb="FF1A3A5C"/>
      </left>
      <right/>
      <top/>
      <bottom/>
      <diagonal/>
    </border>
    <border>
      <left/>
      <right/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 style="thick">
        <color rgb="FF003399"/>
      </left>
      <right/>
      <top style="thick">
        <color rgb="FF003399"/>
      </top>
      <bottom/>
      <diagonal/>
    </border>
    <border>
      <left/>
      <right/>
      <top style="thick">
        <color rgb="FF003399"/>
      </top>
      <bottom/>
      <diagonal/>
    </border>
    <border>
      <left style="medium">
        <color rgb="FF1A3A5C"/>
      </left>
      <right/>
      <top style="thick">
        <color rgb="FF003399"/>
      </top>
      <bottom/>
      <diagonal/>
    </border>
    <border>
      <left/>
      <right style="thick">
        <color rgb="FF003399"/>
      </right>
      <top style="thick">
        <color rgb="FF003399"/>
      </top>
      <bottom/>
      <diagonal/>
    </border>
    <border>
      <left style="thick">
        <color rgb="FF003399"/>
      </left>
      <right/>
      <top/>
      <bottom/>
      <diagonal/>
    </border>
    <border>
      <left/>
      <right style="thick">
        <color rgb="FF003399"/>
      </right>
      <top/>
      <bottom/>
      <diagonal/>
    </border>
    <border>
      <left style="thick">
        <color rgb="FF003399"/>
      </left>
      <right/>
      <top style="medium">
        <color rgb="FF1A3A5C"/>
      </top>
      <bottom/>
      <diagonal/>
    </border>
    <border>
      <left/>
      <right style="thick">
        <color rgb="FF003399"/>
      </right>
      <top style="medium">
        <color rgb="FF1A3A5C"/>
      </top>
      <bottom/>
      <diagonal/>
    </border>
    <border>
      <left style="thick">
        <color rgb="FF003399"/>
      </left>
      <right/>
      <top/>
      <bottom style="thick">
        <color rgb="FF003399"/>
      </bottom>
      <diagonal/>
    </border>
    <border>
      <left/>
      <right/>
      <top/>
      <bottom style="thick">
        <color rgb="FF003399"/>
      </bottom>
      <diagonal/>
    </border>
    <border>
      <left style="medium">
        <color rgb="FF1A3A5C"/>
      </left>
      <right/>
      <top/>
      <bottom style="thick">
        <color rgb="FF003399"/>
      </bottom>
      <diagonal/>
    </border>
    <border>
      <left/>
      <right style="thick">
        <color rgb="FF003399"/>
      </right>
      <top/>
      <bottom style="thick">
        <color rgb="FF0033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/>
    <xf numFmtId="0" fontId="9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 wrapText="1"/>
    </xf>
    <xf numFmtId="0" fontId="13" fillId="3" borderId="0" xfId="0" applyFont="1" applyFill="1"/>
    <xf numFmtId="0" fontId="11" fillId="4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 wrapText="1"/>
    </xf>
    <xf numFmtId="0" fontId="11" fillId="1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9" fontId="9" fillId="8" borderId="2" xfId="0" applyNumberFormat="1" applyFont="1" applyFill="1" applyBorder="1" applyAlignment="1">
      <alignment horizontal="left" vertical="center" wrapText="1"/>
    </xf>
    <xf numFmtId="0" fontId="0" fillId="0" borderId="0" xfId="0"/>
    <xf numFmtId="0" fontId="2" fillId="7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5" xfId="0" applyBorder="1"/>
    <xf numFmtId="0" fontId="0" fillId="0" borderId="13" xfId="0" applyBorder="1"/>
    <xf numFmtId="0" fontId="2" fillId="2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2" xfId="0" applyBorder="1"/>
    <xf numFmtId="0" fontId="2" fillId="5" borderId="10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17" xfId="0" applyBorder="1"/>
    <xf numFmtId="0" fontId="7" fillId="8" borderId="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2" fillId="4" borderId="1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6" xfId="0" applyBorder="1"/>
    <xf numFmtId="0" fontId="5" fillId="8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0" fillId="3" borderId="3" xfId="0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134"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333333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E67E22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7B2FB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B2FBE"/>
      <rgbColor rgb="FFF5F7FA"/>
      <rgbColor rgb="FFD6E4F0"/>
      <rgbColor rgb="FF660066"/>
      <rgbColor rgb="FFFF8080"/>
      <rgbColor rgb="FF2E6DA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555555"/>
      <rgbColor rgb="FF999999"/>
      <rgbColor rgb="FF1A3A5C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1"/>
  <sheetViews>
    <sheetView showGridLines="0" tabSelected="1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3" sqref="B3:S3"/>
    </sheetView>
  </sheetViews>
  <sheetFormatPr baseColWidth="10" defaultColWidth="8.7109375" defaultRowHeight="15" x14ac:dyDescent="0.25"/>
  <cols>
    <col min="1" max="1" width="2" customWidth="1"/>
    <col min="2" max="2" width="8" customWidth="1"/>
    <col min="3" max="3" width="22" customWidth="1"/>
    <col min="4" max="4" width="13" customWidth="1"/>
    <col min="5" max="5" width="14" customWidth="1"/>
    <col min="6" max="6" width="18" customWidth="1"/>
    <col min="7" max="7" width="15" customWidth="1"/>
    <col min="8" max="11" width="12" customWidth="1"/>
    <col min="12" max="12" width="11" customWidth="1"/>
    <col min="13" max="19" width="14" customWidth="1"/>
  </cols>
  <sheetData>
    <row r="1" spans="2:19" ht="34.5" customHeight="1" x14ac:dyDescent="0.25">
      <c r="B1" s="53" t="s">
        <v>300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2:19" ht="4.5" customHeight="1" x14ac:dyDescent="0.25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2:19" ht="19.5" customHeight="1" x14ac:dyDescent="0.25">
      <c r="B3" s="45" t="s">
        <v>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2:19" ht="9.75" customHeight="1" thickBot="1" x14ac:dyDescent="0.3"/>
    <row r="5" spans="2:19" ht="19.5" customHeight="1" thickTop="1" x14ac:dyDescent="0.25">
      <c r="B5" s="29" t="s">
        <v>1</v>
      </c>
      <c r="C5" s="30"/>
      <c r="D5" s="40" t="s">
        <v>2</v>
      </c>
      <c r="E5" s="30"/>
      <c r="F5" s="32" t="s">
        <v>3</v>
      </c>
      <c r="G5" s="30"/>
      <c r="H5" s="46" t="s">
        <v>4</v>
      </c>
      <c r="I5" s="30"/>
      <c r="J5" s="25" t="s">
        <v>5</v>
      </c>
      <c r="K5" s="26"/>
    </row>
    <row r="6" spans="2:19" ht="19.5" customHeight="1" x14ac:dyDescent="0.25">
      <c r="B6" s="31"/>
      <c r="C6" s="24"/>
      <c r="D6" s="27"/>
      <c r="E6" s="24"/>
      <c r="F6" s="27"/>
      <c r="G6" s="24"/>
      <c r="H6" s="27"/>
      <c r="I6" s="24"/>
      <c r="J6" s="27"/>
      <c r="K6" s="28"/>
    </row>
    <row r="7" spans="2:19" ht="19.5" customHeight="1" thickBot="1" x14ac:dyDescent="0.3">
      <c r="B7" s="31"/>
      <c r="C7" s="24"/>
      <c r="D7" s="27"/>
      <c r="E7" s="24"/>
      <c r="F7" s="27"/>
      <c r="G7" s="24"/>
      <c r="H7" s="27"/>
      <c r="I7" s="24"/>
      <c r="J7" s="27"/>
      <c r="K7" s="28"/>
    </row>
    <row r="8" spans="2:19" ht="27.75" customHeight="1" x14ac:dyDescent="0.25">
      <c r="B8" s="42">
        <f>COUNTA(Inventaire!B2:B14)</f>
        <v>13</v>
      </c>
      <c r="C8" s="34"/>
      <c r="D8" s="41">
        <f>COUNTIF(Inventaire!I2:I14,"Catalogue")</f>
        <v>8</v>
      </c>
      <c r="E8" s="34"/>
      <c r="F8" s="44">
        <f>COUNTIF(Inventaire!I2:I14,"Pipeline")</f>
        <v>5</v>
      </c>
      <c r="G8" s="34"/>
      <c r="H8" s="33">
        <f>COUNTIF(Inventaire!K2:K14,"Critique")</f>
        <v>7</v>
      </c>
      <c r="I8" s="34"/>
      <c r="J8" s="37">
        <f>COUNTIF(Inventaire!K2:K14,"Élevée")+COUNTIF(Inventaire!K2:K14,"Haute")</f>
        <v>1</v>
      </c>
      <c r="K8" s="38"/>
    </row>
    <row r="9" spans="2:19" ht="27.75" customHeight="1" thickBot="1" x14ac:dyDescent="0.3">
      <c r="B9" s="43"/>
      <c r="C9" s="36"/>
      <c r="D9" s="35"/>
      <c r="E9" s="36"/>
      <c r="F9" s="35"/>
      <c r="G9" s="36"/>
      <c r="H9" s="35"/>
      <c r="I9" s="36"/>
      <c r="J9" s="35"/>
      <c r="K9" s="39"/>
    </row>
    <row r="10" spans="2:19" ht="15" customHeight="1" thickTop="1" x14ac:dyDescent="0.25"/>
    <row r="11" spans="2:19" ht="27.75" customHeight="1" x14ac:dyDescent="0.25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  <c r="L11" s="1" t="s">
        <v>16</v>
      </c>
      <c r="M11" s="1" t="s">
        <v>17</v>
      </c>
      <c r="N11" s="2"/>
      <c r="O11" s="3"/>
    </row>
    <row r="12" spans="2:19" ht="19.5" customHeight="1" x14ac:dyDescent="0.25">
      <c r="B12" s="4" t="str">
        <f>Inventaire!B2</f>
        <v>APP-001</v>
      </c>
      <c r="C12" s="4" t="str">
        <f>Inventaire!C2</f>
        <v>DocuTrace Lab</v>
      </c>
      <c r="D12" s="4" t="str">
        <f>Inventaire!D2</f>
        <v>Métier</v>
      </c>
      <c r="E12" s="4" t="str">
        <f>Inventaire!P2</f>
        <v>DSID</v>
      </c>
      <c r="F12" s="4" t="str">
        <f>Inventaire!Q2</f>
        <v>LNCM</v>
      </c>
      <c r="G12" s="4" t="str">
        <f>Inventaire!I2</f>
        <v>Catalogue</v>
      </c>
      <c r="H12" s="4" t="str">
        <f>Inventaire!K2</f>
        <v>Moyenne</v>
      </c>
      <c r="I12" s="4" t="str">
        <f>Inventaire!M2</f>
        <v>On-prem</v>
      </c>
      <c r="J12" s="4" t="str">
        <f>Inventaire!F2</f>
        <v>Interne</v>
      </c>
      <c r="K12" s="4" t="str">
        <f>Inventaire!G2</f>
        <v>-</v>
      </c>
      <c r="L12" s="4" t="str">
        <f>Inventaire!R2</f>
        <v>99%</v>
      </c>
      <c r="M12" s="5" t="str">
        <f>'📋 DocuTrace Lab'!C34</f>
        <v>Non</v>
      </c>
      <c r="N12" s="2"/>
      <c r="O12" s="3"/>
    </row>
    <row r="13" spans="2:19" ht="19.5" customHeight="1" x14ac:dyDescent="0.25">
      <c r="B13" s="6" t="str">
        <f>Inventaire!B3</f>
        <v>APP-002</v>
      </c>
      <c r="C13" s="6" t="str">
        <f>Inventaire!C3</f>
        <v>VigiUp</v>
      </c>
      <c r="D13" s="6" t="str">
        <f>Inventaire!D3</f>
        <v>Métier</v>
      </c>
      <c r="E13" s="6" t="str">
        <f>Inventaire!P3</f>
        <v>DSID</v>
      </c>
      <c r="F13" s="6" t="str">
        <f>Inventaire!Q3</f>
        <v>Vigilance</v>
      </c>
      <c r="G13" s="6" t="str">
        <f>Inventaire!I3</f>
        <v>Catalogue</v>
      </c>
      <c r="H13" s="6" t="str">
        <f>Inventaire!K3</f>
        <v>Critique</v>
      </c>
      <c r="I13" s="6" t="str">
        <f>Inventaire!M3</f>
        <v>On-prem</v>
      </c>
      <c r="J13" s="6" t="str">
        <f>Inventaire!F3</f>
        <v>Interne</v>
      </c>
      <c r="K13" s="6" t="str">
        <f>Inventaire!G3</f>
        <v>-</v>
      </c>
      <c r="L13" s="6" t="str">
        <f>Inventaire!R3</f>
        <v>99%</v>
      </c>
      <c r="M13" s="7" t="str">
        <f>'📋 VigiUp'!C34</f>
        <v>Non</v>
      </c>
      <c r="N13" s="2"/>
      <c r="O13" s="3"/>
    </row>
    <row r="14" spans="2:19" ht="19.5" customHeight="1" x14ac:dyDescent="0.25">
      <c r="B14" s="6" t="str">
        <f>Inventaire!B4</f>
        <v>APP-004</v>
      </c>
      <c r="C14" s="6" t="str">
        <f>Inventaire!C4</f>
        <v>Moussanada</v>
      </c>
      <c r="D14" s="6" t="str">
        <f>Inventaire!D4</f>
        <v>Support</v>
      </c>
      <c r="E14" s="6" t="str">
        <f>Inventaire!P4</f>
        <v>DSID</v>
      </c>
      <c r="F14" s="6" t="str">
        <f>Inventaire!Q4</f>
        <v>AMMPS</v>
      </c>
      <c r="G14" s="6" t="str">
        <f>Inventaire!I4</f>
        <v>Catalogue</v>
      </c>
      <c r="H14" s="6" t="str">
        <f>Inventaire!K4</f>
        <v>Moyenne</v>
      </c>
      <c r="I14" s="6" t="str">
        <f>Inventaire!M4</f>
        <v>On-prem</v>
      </c>
      <c r="J14" s="6" t="str">
        <f>Inventaire!F4</f>
        <v>Interne</v>
      </c>
      <c r="K14" s="6" t="str">
        <f>Inventaire!G4</f>
        <v>-</v>
      </c>
      <c r="L14" s="6" t="str">
        <f>Inventaire!R4</f>
        <v>99%</v>
      </c>
      <c r="M14" s="7" t="str">
        <f>'📋 Moussanada'!C34</f>
        <v>-</v>
      </c>
      <c r="N14" s="2"/>
      <c r="O14" s="3"/>
    </row>
    <row r="15" spans="2:19" ht="19.5" customHeight="1" x14ac:dyDescent="0.25">
      <c r="B15" s="4" t="str">
        <f>Inventaire!B5</f>
        <v>APP-005</v>
      </c>
      <c r="C15" s="4" t="str">
        <f>Inventaire!C5</f>
        <v>Sentinel</v>
      </c>
      <c r="D15" s="4" t="str">
        <f>Inventaire!D5</f>
        <v>Métier</v>
      </c>
      <c r="E15" s="4" t="str">
        <f>Inventaire!P5</f>
        <v>AMMPS</v>
      </c>
      <c r="F15" s="4" t="str">
        <f>Inventaire!Q5</f>
        <v>Surveillance Post-Marketing</v>
      </c>
      <c r="G15" s="4" t="str">
        <f>Inventaire!I5</f>
        <v>Catalogue</v>
      </c>
      <c r="H15" s="4" t="str">
        <f>Inventaire!K5</f>
        <v>Critique</v>
      </c>
      <c r="I15" s="4" t="str">
        <f>Inventaire!M5</f>
        <v>On-prem</v>
      </c>
      <c r="J15" s="4" t="str">
        <f>Inventaire!F5</f>
        <v>Interne</v>
      </c>
      <c r="K15" s="4" t="str">
        <f>Inventaire!G5</f>
        <v>DSID</v>
      </c>
      <c r="L15" s="4" t="str">
        <f>Inventaire!R5</f>
        <v>99%</v>
      </c>
      <c r="M15" s="5" t="str">
        <f>'📋 Sentinel'!C34</f>
        <v>Oui</v>
      </c>
      <c r="N15" s="2"/>
      <c r="O15" s="3"/>
    </row>
    <row r="16" spans="2:19" ht="19.5" customHeight="1" x14ac:dyDescent="0.25">
      <c r="B16" s="6" t="str">
        <f>Inventaire!B6</f>
        <v>APP-006</v>
      </c>
      <c r="C16" s="6" t="str">
        <f>Inventaire!C6</f>
        <v>E-Services</v>
      </c>
      <c r="D16" s="6" t="str">
        <f>Inventaire!D6</f>
        <v>Métier</v>
      </c>
      <c r="E16" s="6" t="str">
        <f>Inventaire!P6</f>
        <v>-</v>
      </c>
      <c r="F16" s="6" t="str">
        <f>Inventaire!Q6</f>
        <v>Dispositif Médical</v>
      </c>
      <c r="G16" s="6" t="str">
        <f>Inventaire!I6</f>
        <v>Catalogue</v>
      </c>
      <c r="H16" s="6" t="str">
        <f>Inventaire!K6</f>
        <v>Critique</v>
      </c>
      <c r="I16" s="6" t="str">
        <f>Inventaire!M6</f>
        <v>Cloud</v>
      </c>
      <c r="J16" s="6" t="str">
        <f>Inventaire!F6</f>
        <v>Prestataire</v>
      </c>
      <c r="K16" s="6" t="str">
        <f>Inventaire!G6</f>
        <v>Digital Performance</v>
      </c>
      <c r="L16" s="6" t="str">
        <f>Inventaire!R6</f>
        <v>99%</v>
      </c>
      <c r="M16" s="7" t="str">
        <f>'📋 E-Services'!C34</f>
        <v>Oui</v>
      </c>
      <c r="N16" s="2"/>
      <c r="O16" s="3"/>
    </row>
    <row r="17" spans="2:15" ht="19.5" customHeight="1" x14ac:dyDescent="0.25">
      <c r="B17" s="4" t="str">
        <f>Inventaire!B7</f>
        <v>APP-007</v>
      </c>
      <c r="C17" s="4" t="str">
        <f>Inventaire!C7</f>
        <v>GIMPS</v>
      </c>
      <c r="D17" s="4" t="str">
        <f>Inventaire!D7</f>
        <v>Métier</v>
      </c>
      <c r="E17" s="4" t="str">
        <f>Inventaire!P7</f>
        <v>DMP</v>
      </c>
      <c r="F17" s="4" t="str">
        <f>Inventaire!Q7</f>
        <v>Réception, Finances, Évaluation, Inspection</v>
      </c>
      <c r="G17" s="4" t="str">
        <f>Inventaire!I7</f>
        <v>Catalogue</v>
      </c>
      <c r="H17" s="4" t="str">
        <f>Inventaire!K7</f>
        <v>Critique</v>
      </c>
      <c r="I17" s="4" t="str">
        <f>Inventaire!M7</f>
        <v>On-prem</v>
      </c>
      <c r="J17" s="4" t="str">
        <f>Inventaire!F7</f>
        <v>Prestataire</v>
      </c>
      <c r="K17" s="4" t="str">
        <f>Inventaire!G7</f>
        <v>Nevolys</v>
      </c>
      <c r="L17" s="4" t="str">
        <f>Inventaire!R7</f>
        <v>99%</v>
      </c>
      <c r="M17" s="5" t="str">
        <f>'📋 GIMPS'!C34</f>
        <v>Oui</v>
      </c>
      <c r="N17" s="2"/>
      <c r="O17" s="3"/>
    </row>
    <row r="18" spans="2:15" ht="19.5" customHeight="1" x14ac:dyDescent="0.25">
      <c r="B18" s="4" t="str">
        <f>Inventaire!B8</f>
        <v>APP-009</v>
      </c>
      <c r="C18" s="4" t="str">
        <f>Inventaire!C8</f>
        <v>Attestation Échantillons Médicaux</v>
      </c>
      <c r="D18" s="4" t="str">
        <f>Inventaire!D8</f>
        <v>Métier</v>
      </c>
      <c r="E18" s="4" t="str">
        <f>Inventaire!P8</f>
        <v>-</v>
      </c>
      <c r="F18" s="4" t="str">
        <f>Inventaire!Q8</f>
        <v>-</v>
      </c>
      <c r="G18" s="4" t="str">
        <f>Inventaire!I8</f>
        <v>Catalogue</v>
      </c>
      <c r="H18" s="4" t="str">
        <f>Inventaire!K8</f>
        <v>Moyenne</v>
      </c>
      <c r="I18" s="4" t="str">
        <f>Inventaire!M8</f>
        <v>On-prem</v>
      </c>
      <c r="J18" s="4" t="str">
        <f>Inventaire!F8</f>
        <v>Prestataire</v>
      </c>
      <c r="K18" s="4" t="str">
        <f>Inventaire!G8</f>
        <v>Digital Performance</v>
      </c>
      <c r="L18" s="4" t="str">
        <f>Inventaire!R8</f>
        <v>99%</v>
      </c>
      <c r="M18" s="5" t="str">
        <f>'📋 Attestation Échantillons '!C34</f>
        <v>Oui</v>
      </c>
      <c r="N18" s="2"/>
      <c r="O18" s="3"/>
    </row>
    <row r="19" spans="2:15" ht="19.5" customHeight="1" x14ac:dyDescent="0.25">
      <c r="B19" s="6" t="str">
        <f>Inventaire!B9</f>
        <v>APP-014</v>
      </c>
      <c r="C19" s="6" t="str">
        <f>Inventaire!C9</f>
        <v>e-RBI</v>
      </c>
      <c r="D19" s="6" t="str">
        <f>Inventaire!D9</f>
        <v>Métier</v>
      </c>
      <c r="E19" s="6" t="str">
        <f>Inventaire!P9</f>
        <v>-</v>
      </c>
      <c r="F19" s="6" t="str">
        <f>Inventaire!Q9</f>
        <v>-</v>
      </c>
      <c r="G19" s="6" t="str">
        <f>Inventaire!I9</f>
        <v>Pipeline</v>
      </c>
      <c r="H19" s="6" t="str">
        <f>Inventaire!K9</f>
        <v>Élevée</v>
      </c>
      <c r="I19" s="6" t="str">
        <f>Inventaire!M9</f>
        <v>On-prem</v>
      </c>
      <c r="J19" s="6" t="str">
        <f>Inventaire!F9</f>
        <v>Prestataire</v>
      </c>
      <c r="K19" s="6" t="str">
        <f>Inventaire!G9</f>
        <v>ONE TECHNOLOGY</v>
      </c>
      <c r="L19" s="6" t="str">
        <f>Inventaire!R9</f>
        <v>99%</v>
      </c>
      <c r="M19" s="7" t="str">
        <f>'📋 e-RBI'!C34</f>
        <v>Oui</v>
      </c>
      <c r="N19" s="2"/>
      <c r="O19" s="3"/>
    </row>
    <row r="20" spans="2:15" ht="19.5" customHeight="1" x14ac:dyDescent="0.25">
      <c r="B20" s="4" t="str">
        <f>Inventaire!B10</f>
        <v>APP-015</v>
      </c>
      <c r="C20" s="4" t="str">
        <f>Inventaire!C10</f>
        <v>Tarkhiss</v>
      </c>
      <c r="D20" s="4" t="str">
        <f>Inventaire!D10</f>
        <v>Métier</v>
      </c>
      <c r="E20" s="4" t="str">
        <f>Inventaire!P10</f>
        <v>CDG Incept</v>
      </c>
      <c r="F20" s="4" t="str">
        <f>Inventaire!Q10</f>
        <v>AMMPS</v>
      </c>
      <c r="G20" s="4" t="str">
        <f>Inventaire!I10</f>
        <v>Catalogue</v>
      </c>
      <c r="H20" s="4" t="str">
        <f>Inventaire!K10</f>
        <v>Critique</v>
      </c>
      <c r="I20" s="4" t="str">
        <f>Inventaire!M10</f>
        <v>Cloud</v>
      </c>
      <c r="J20" s="4" t="str">
        <f>Inventaire!F10</f>
        <v>Prestataire</v>
      </c>
      <c r="K20" s="4" t="str">
        <f>Inventaire!G10</f>
        <v>CDG Incept / Ribatis</v>
      </c>
      <c r="L20" s="4" t="str">
        <f>Inventaire!R10</f>
        <v>99%</v>
      </c>
      <c r="M20" s="5" t="str">
        <f>'📋 Tarkhiss'!C34</f>
        <v>Oui</v>
      </c>
      <c r="N20" s="2"/>
      <c r="O20" s="3"/>
    </row>
    <row r="21" spans="2:15" ht="19.5" customHeight="1" x14ac:dyDescent="0.25">
      <c r="B21" s="6" t="str">
        <f>Inventaire!B11</f>
        <v>APP-016</v>
      </c>
      <c r="C21" s="6" t="str">
        <f>Inventaire!C11</f>
        <v>Gestion de Délais</v>
      </c>
      <c r="D21" s="6" t="str">
        <f>Inventaire!D11</f>
        <v>Métier</v>
      </c>
      <c r="E21" s="6" t="str">
        <f>Inventaire!P11</f>
        <v>DSID</v>
      </c>
      <c r="F21" s="6" t="str">
        <f>Inventaire!Q11</f>
        <v>Pôle Inspection</v>
      </c>
      <c r="G21" s="6" t="str">
        <f>Inventaire!I11</f>
        <v>Pipeline</v>
      </c>
      <c r="H21" s="6" t="str">
        <f>Inventaire!K11</f>
        <v>Critique</v>
      </c>
      <c r="I21" s="6" t="str">
        <f>Inventaire!M11</f>
        <v>On-prem</v>
      </c>
      <c r="J21" s="6" t="str">
        <f>Inventaire!F11</f>
        <v>Interne</v>
      </c>
      <c r="K21" s="6" t="str">
        <f>Inventaire!G11</f>
        <v>-</v>
      </c>
      <c r="L21" s="6" t="str">
        <f>Inventaire!R11</f>
        <v>99%</v>
      </c>
      <c r="M21" s="7" t="str">
        <f>'📋 Gestion de Délais'!C34</f>
        <v>Oui</v>
      </c>
      <c r="N21" s="2"/>
      <c r="O21" s="3"/>
    </row>
    <row r="22" spans="2:15" ht="19.5" customHeight="1" x14ac:dyDescent="0.25">
      <c r="B22" s="4" t="str">
        <f>Inventaire!B12</f>
        <v>APP-017</v>
      </c>
      <c r="C22" s="4" t="str">
        <f>Inventaire!C12</f>
        <v>MA Tracker</v>
      </c>
      <c r="D22" s="4" t="str">
        <f>Inventaire!D12</f>
        <v>Métier</v>
      </c>
      <c r="E22" s="4" t="str">
        <f>Inventaire!P12</f>
        <v>-</v>
      </c>
      <c r="F22" s="4" t="str">
        <f>Inventaire!Q12</f>
        <v>-</v>
      </c>
      <c r="G22" s="4" t="str">
        <f>Inventaire!I12</f>
        <v>Pipeline</v>
      </c>
      <c r="H22" s="4" t="str">
        <f>Inventaire!K12</f>
        <v>-</v>
      </c>
      <c r="I22" s="4" t="str">
        <f>Inventaire!M12</f>
        <v>On-prem</v>
      </c>
      <c r="J22" s="4" t="str">
        <f>Inventaire!F12</f>
        <v>Interne</v>
      </c>
      <c r="K22" s="4" t="str">
        <f>Inventaire!G12</f>
        <v>-</v>
      </c>
      <c r="L22" s="4" t="str">
        <f>Inventaire!R12</f>
        <v>99%</v>
      </c>
      <c r="M22" s="5" t="str">
        <f>'📋 MA Tracker'!C34</f>
        <v>-</v>
      </c>
      <c r="N22" s="2"/>
      <c r="O22" s="3"/>
    </row>
    <row r="23" spans="2:15" ht="19.5" customHeight="1" x14ac:dyDescent="0.25">
      <c r="B23" s="4" t="str">
        <f>Inventaire!B13</f>
        <v>APP-018</v>
      </c>
      <c r="C23" s="4" t="str">
        <f>Inventaire!C13</f>
        <v>Intranet Qualité</v>
      </c>
      <c r="D23" s="4" t="str">
        <f>Inventaire!D13</f>
        <v>Métier</v>
      </c>
      <c r="E23" s="4" t="str">
        <f>Inventaire!P13</f>
        <v>DSID</v>
      </c>
      <c r="F23" s="4" t="str">
        <f>Inventaire!Q13</f>
        <v>Qualité</v>
      </c>
      <c r="G23" s="4" t="str">
        <f>Inventaire!I13</f>
        <v>Pipeline</v>
      </c>
      <c r="H23" s="4" t="str">
        <f>Inventaire!K13</f>
        <v>Moyenne</v>
      </c>
      <c r="I23" s="4" t="str">
        <f>Inventaire!M13</f>
        <v>Cloud</v>
      </c>
      <c r="J23" s="4" t="str">
        <f>Inventaire!F13</f>
        <v>Interne</v>
      </c>
      <c r="K23" s="4" t="str">
        <f>Inventaire!G13</f>
        <v>-</v>
      </c>
      <c r="L23" s="4" t="str">
        <f>Inventaire!R13</f>
        <v>99%</v>
      </c>
      <c r="M23" s="5" t="str">
        <f>'📋 Intranet Qualité'!C34</f>
        <v>Non</v>
      </c>
      <c r="N23" s="2"/>
      <c r="O23" s="3"/>
    </row>
    <row r="24" spans="2:15" ht="19.5" customHeight="1" x14ac:dyDescent="0.25">
      <c r="B24" s="4" t="str">
        <f>Inventaire!B14</f>
        <v>APP-019</v>
      </c>
      <c r="C24" s="4" t="str">
        <f>Inventaire!C14</f>
        <v>LIMS LabVantage (Smart Lab)</v>
      </c>
      <c r="D24" s="4" t="str">
        <f>Inventaire!D14</f>
        <v>Métier</v>
      </c>
      <c r="E24" s="4" t="str">
        <f>Inventaire!P14</f>
        <v>-</v>
      </c>
      <c r="F24" s="4" t="str">
        <f>Inventaire!Q14</f>
        <v>LNCM</v>
      </c>
      <c r="G24" s="4" t="str">
        <f>Inventaire!I14</f>
        <v>Pipeline</v>
      </c>
      <c r="H24" s="4" t="str">
        <f>Inventaire!K14</f>
        <v>Critique</v>
      </c>
      <c r="I24" s="4" t="str">
        <f>Inventaire!M14</f>
        <v>On-prem</v>
      </c>
      <c r="J24" s="4" t="str">
        <f>Inventaire!F14</f>
        <v>Acquisition</v>
      </c>
      <c r="K24" s="4" t="str">
        <f>Inventaire!G14</f>
        <v>LabVantage Solutions</v>
      </c>
      <c r="L24" s="4" t="str">
        <f>Inventaire!R14</f>
        <v>99%</v>
      </c>
      <c r="M24" s="5" t="str">
        <f>'📋 LIMS LabVantage'!C34</f>
        <v>Oui</v>
      </c>
      <c r="N24" s="2"/>
      <c r="O24" s="3"/>
    </row>
    <row r="25" spans="2:15" ht="19.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9.5" customHeight="1" x14ac:dyDescent="0.25"/>
    <row r="27" spans="2:15" ht="19.5" customHeight="1" x14ac:dyDescent="0.25"/>
    <row r="28" spans="2:15" ht="19.5" customHeight="1" x14ac:dyDescent="0.25"/>
    <row r="29" spans="2:15" ht="15" customHeight="1" x14ac:dyDescent="0.25"/>
    <row r="30" spans="2:15" ht="15" customHeight="1" x14ac:dyDescent="0.25"/>
    <row r="31" spans="2:15" ht="15" customHeight="1" x14ac:dyDescent="0.25"/>
  </sheetData>
  <mergeCells count="12">
    <mergeCell ref="B1:S2"/>
    <mergeCell ref="J5:K7"/>
    <mergeCell ref="B5:C7"/>
    <mergeCell ref="F5:G7"/>
    <mergeCell ref="H8:I9"/>
    <mergeCell ref="J8:K9"/>
    <mergeCell ref="D5:E7"/>
    <mergeCell ref="D8:E9"/>
    <mergeCell ref="B8:C9"/>
    <mergeCell ref="F8:G9"/>
    <mergeCell ref="B3:S3"/>
    <mergeCell ref="H5:I7"/>
  </mergeCells>
  <conditionalFormatting sqref="G12:G28">
    <cfRule type="expression" dxfId="133" priority="2">
      <formula>$G12="Pipeline"</formula>
    </cfRule>
    <cfRule type="expression" dxfId="132" priority="3">
      <formula>$G12="Catalogue"</formula>
    </cfRule>
    <cfRule type="expression" dxfId="131" priority="4">
      <formula>$G12="Retraité"</formula>
    </cfRule>
  </conditionalFormatting>
  <conditionalFormatting sqref="H12:H28">
    <cfRule type="expression" dxfId="130" priority="5">
      <formula>$H12="Critique"</formula>
    </cfRule>
    <cfRule type="expression" dxfId="129" priority="6">
      <formula>$H12="Haute"</formula>
    </cfRule>
    <cfRule type="expression" dxfId="128" priority="7">
      <formula>$H12="Élevée"</formula>
    </cfRule>
    <cfRule type="expression" dxfId="127" priority="8">
      <formula>$H12="Moyenne"</formula>
    </cfRule>
    <cfRule type="expression" dxfId="126" priority="9">
      <formula>$H12="Faible"</formula>
    </cfRule>
  </conditionalFormatting>
  <conditionalFormatting sqref="M12:M28">
    <cfRule type="expression" dxfId="125" priority="10">
      <formula>$M12="Oui"</formula>
    </cfRule>
    <cfRule type="expression" dxfId="124" priority="11">
      <formula>$M12="Non"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10" defaultColWidth="8.7109375" defaultRowHeight="15" x14ac:dyDescent="0.25"/>
  <cols>
    <col min="1" max="1" width="1" customWidth="1"/>
    <col min="2" max="20" width="16" customWidth="1"/>
  </cols>
  <sheetData>
    <row r="1" spans="2:20" ht="27.75" customHeight="1" x14ac:dyDescent="0.25">
      <c r="B1" s="8" t="s">
        <v>6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15</v>
      </c>
      <c r="H1" s="8" t="s">
        <v>22</v>
      </c>
      <c r="I1" s="8" t="s">
        <v>11</v>
      </c>
      <c r="J1" s="8" t="s">
        <v>23</v>
      </c>
      <c r="K1" s="8" t="s">
        <v>12</v>
      </c>
      <c r="L1" s="8" t="s">
        <v>24</v>
      </c>
      <c r="M1" s="8" t="s">
        <v>13</v>
      </c>
      <c r="N1" s="8" t="s">
        <v>25</v>
      </c>
      <c r="O1" s="8" t="s">
        <v>26</v>
      </c>
      <c r="P1" s="8" t="s">
        <v>9</v>
      </c>
      <c r="Q1" s="8" t="s">
        <v>27</v>
      </c>
      <c r="R1" s="8" t="s">
        <v>28</v>
      </c>
      <c r="S1" s="8" t="s">
        <v>29</v>
      </c>
      <c r="T1" s="8" t="s">
        <v>30</v>
      </c>
    </row>
    <row r="2" spans="2:20" ht="60" customHeight="1" x14ac:dyDescent="0.25">
      <c r="B2" s="9" t="s">
        <v>31</v>
      </c>
      <c r="C2" s="9" t="s">
        <v>32</v>
      </c>
      <c r="D2" s="9" t="str">
        <f>'📋 DocuTrace Lab'!C8</f>
        <v>Métier</v>
      </c>
      <c r="E2" s="9" t="s">
        <v>33</v>
      </c>
      <c r="F2" s="9" t="s">
        <v>34</v>
      </c>
      <c r="G2" s="9" t="str">
        <f>'📋 DocuTrace Lab'!C13</f>
        <v>-</v>
      </c>
      <c r="H2" s="9" t="s">
        <v>35</v>
      </c>
      <c r="I2" s="9" t="str">
        <f>'📋 DocuTrace Lab'!C10</f>
        <v>Catalogue</v>
      </c>
      <c r="J2" s="9" t="s">
        <v>36</v>
      </c>
      <c r="K2" s="9" t="str">
        <f>'📋 DocuTrace Lab'!E8</f>
        <v>Moyenne</v>
      </c>
      <c r="L2" s="9" t="s">
        <v>37</v>
      </c>
      <c r="M2" s="9" t="s">
        <v>38</v>
      </c>
      <c r="N2" s="9" t="s">
        <v>39</v>
      </c>
      <c r="O2" s="9"/>
      <c r="P2" s="9" t="s">
        <v>40</v>
      </c>
      <c r="Q2" s="9" t="s">
        <v>41</v>
      </c>
      <c r="R2" s="9" t="s">
        <v>42</v>
      </c>
      <c r="S2" s="9" t="s">
        <v>43</v>
      </c>
      <c r="T2" s="9" t="s">
        <v>43</v>
      </c>
    </row>
    <row r="3" spans="2:20" ht="48" customHeight="1" x14ac:dyDescent="0.25">
      <c r="B3" s="10" t="s">
        <v>44</v>
      </c>
      <c r="C3" s="10" t="s">
        <v>298</v>
      </c>
      <c r="D3" s="10" t="str">
        <f>'📋 VigiUp'!C8</f>
        <v>Métier</v>
      </c>
      <c r="E3" s="10" t="s">
        <v>45</v>
      </c>
      <c r="F3" s="10" t="s">
        <v>34</v>
      </c>
      <c r="G3" s="10" t="str">
        <f>'📋 VigiUp'!C13</f>
        <v>-</v>
      </c>
      <c r="H3" s="10" t="s">
        <v>46</v>
      </c>
      <c r="I3" s="10" t="str">
        <f>'📋 VigiUp'!C10</f>
        <v>Catalogue</v>
      </c>
      <c r="J3" s="10" t="s">
        <v>36</v>
      </c>
      <c r="K3" s="10" t="str">
        <f>'📋 VigiUp'!E8</f>
        <v>Critique</v>
      </c>
      <c r="L3" s="10" t="s">
        <v>47</v>
      </c>
      <c r="M3" s="10" t="s">
        <v>38</v>
      </c>
      <c r="N3" s="10" t="s">
        <v>48</v>
      </c>
      <c r="O3" s="10"/>
      <c r="P3" s="10" t="s">
        <v>40</v>
      </c>
      <c r="Q3" s="10" t="s">
        <v>49</v>
      </c>
      <c r="R3" s="10" t="s">
        <v>42</v>
      </c>
      <c r="S3" s="10" t="s">
        <v>43</v>
      </c>
      <c r="T3" s="10" t="s">
        <v>43</v>
      </c>
    </row>
    <row r="4" spans="2:20" ht="36" customHeight="1" x14ac:dyDescent="0.25">
      <c r="B4" s="10" t="s">
        <v>50</v>
      </c>
      <c r="C4" s="10" t="s">
        <v>51</v>
      </c>
      <c r="D4" s="10" t="str">
        <f>'📋 Moussanada'!C8</f>
        <v>Support</v>
      </c>
      <c r="E4" s="10" t="s">
        <v>52</v>
      </c>
      <c r="F4" s="10" t="s">
        <v>34</v>
      </c>
      <c r="G4" s="10" t="str">
        <f>'📋 Moussanada'!C13</f>
        <v>-</v>
      </c>
      <c r="H4" s="10" t="s">
        <v>53</v>
      </c>
      <c r="I4" s="10" t="str">
        <f>'📋 Moussanada'!C10</f>
        <v>Catalogue</v>
      </c>
      <c r="J4" s="10" t="s">
        <v>54</v>
      </c>
      <c r="K4" s="10" t="str">
        <f>'📋 Moussanada'!E8</f>
        <v>Moyenne</v>
      </c>
      <c r="L4" s="10" t="s">
        <v>55</v>
      </c>
      <c r="M4" s="10" t="s">
        <v>38</v>
      </c>
      <c r="N4" s="10" t="s">
        <v>56</v>
      </c>
      <c r="O4" s="10" t="s">
        <v>57</v>
      </c>
      <c r="P4" s="10" t="s">
        <v>40</v>
      </c>
      <c r="Q4" s="10" t="s">
        <v>58</v>
      </c>
      <c r="R4" s="10" t="s">
        <v>42</v>
      </c>
      <c r="S4" s="10" t="s">
        <v>55</v>
      </c>
      <c r="T4" s="10" t="s">
        <v>55</v>
      </c>
    </row>
    <row r="5" spans="2:20" ht="48" customHeight="1" x14ac:dyDescent="0.25">
      <c r="B5" s="9" t="s">
        <v>59</v>
      </c>
      <c r="C5" s="9" t="s">
        <v>60</v>
      </c>
      <c r="D5" s="9" t="str">
        <f>'📋 Sentinel'!C8</f>
        <v>Métier</v>
      </c>
      <c r="E5" s="9" t="s">
        <v>61</v>
      </c>
      <c r="F5" s="9" t="s">
        <v>34</v>
      </c>
      <c r="G5" s="9" t="str">
        <f>'📋 Sentinel'!C13</f>
        <v>DSID</v>
      </c>
      <c r="H5" s="9" t="s">
        <v>62</v>
      </c>
      <c r="I5" s="9" t="str">
        <f>'📋 Sentinel'!C10</f>
        <v>Catalogue</v>
      </c>
      <c r="J5" s="9" t="s">
        <v>36</v>
      </c>
      <c r="K5" s="9" t="str">
        <f>'📋 Sentinel'!E8</f>
        <v>Critique</v>
      </c>
      <c r="L5" s="9" t="s">
        <v>37</v>
      </c>
      <c r="M5" s="9" t="s">
        <v>38</v>
      </c>
      <c r="N5" s="9" t="s">
        <v>63</v>
      </c>
      <c r="O5" s="9"/>
      <c r="P5" s="9" t="s">
        <v>58</v>
      </c>
      <c r="Q5" s="9" t="s">
        <v>64</v>
      </c>
      <c r="R5" s="9" t="s">
        <v>42</v>
      </c>
      <c r="S5" s="9" t="s">
        <v>43</v>
      </c>
      <c r="T5" s="9" t="s">
        <v>43</v>
      </c>
    </row>
    <row r="6" spans="2:20" ht="60" customHeight="1" x14ac:dyDescent="0.25">
      <c r="B6" s="10" t="s">
        <v>65</v>
      </c>
      <c r="C6" s="10" t="s">
        <v>66</v>
      </c>
      <c r="D6" s="10" t="str">
        <f>'📋 E-Services'!C8</f>
        <v>Métier</v>
      </c>
      <c r="E6" s="10" t="s">
        <v>67</v>
      </c>
      <c r="F6" s="10" t="s">
        <v>15</v>
      </c>
      <c r="G6" s="10" t="str">
        <f>'📋 E-Services'!C13</f>
        <v>Digital Performance</v>
      </c>
      <c r="H6" s="10" t="s">
        <v>69</v>
      </c>
      <c r="I6" s="10" t="str">
        <f>'📋 E-Services'!C10</f>
        <v>Catalogue</v>
      </c>
      <c r="J6" s="10" t="s">
        <v>54</v>
      </c>
      <c r="K6" s="10" t="str">
        <f>'📋 E-Services'!E8</f>
        <v>Critique</v>
      </c>
      <c r="L6" s="10" t="s">
        <v>37</v>
      </c>
      <c r="M6" s="10" t="s">
        <v>70</v>
      </c>
      <c r="N6" s="10" t="s">
        <v>71</v>
      </c>
      <c r="O6" s="10" t="s">
        <v>72</v>
      </c>
      <c r="P6" s="10" t="s">
        <v>55</v>
      </c>
      <c r="Q6" s="10" t="s">
        <v>73</v>
      </c>
      <c r="R6" s="10" t="s">
        <v>42</v>
      </c>
      <c r="S6" s="10" t="s">
        <v>43</v>
      </c>
      <c r="T6" s="10" t="s">
        <v>74</v>
      </c>
    </row>
    <row r="7" spans="2:20" ht="72" customHeight="1" x14ac:dyDescent="0.25">
      <c r="B7" s="9" t="s">
        <v>75</v>
      </c>
      <c r="C7" s="9" t="s">
        <v>76</v>
      </c>
      <c r="D7" s="9" t="str">
        <f>'📋 GIMPS'!C8</f>
        <v>Métier</v>
      </c>
      <c r="E7" s="9" t="s">
        <v>77</v>
      </c>
      <c r="F7" s="9" t="s">
        <v>15</v>
      </c>
      <c r="G7" s="9" t="str">
        <f>'📋 GIMPS'!C13</f>
        <v>Nevolys</v>
      </c>
      <c r="H7" s="9" t="s">
        <v>55</v>
      </c>
      <c r="I7" s="9" t="str">
        <f>'📋 GIMPS'!C10</f>
        <v>Catalogue</v>
      </c>
      <c r="J7" s="9" t="s">
        <v>54</v>
      </c>
      <c r="K7" s="9" t="str">
        <f>'📋 GIMPS'!E8</f>
        <v>Critique</v>
      </c>
      <c r="L7" s="9" t="s">
        <v>79</v>
      </c>
      <c r="M7" s="9" t="s">
        <v>38</v>
      </c>
      <c r="N7" s="9" t="s">
        <v>80</v>
      </c>
      <c r="O7" s="9" t="s">
        <v>72</v>
      </c>
      <c r="P7" s="9" t="s">
        <v>81</v>
      </c>
      <c r="Q7" s="9" t="s">
        <v>82</v>
      </c>
      <c r="R7" s="9" t="s">
        <v>42</v>
      </c>
      <c r="S7" s="9" t="s">
        <v>43</v>
      </c>
      <c r="T7" s="9" t="s">
        <v>74</v>
      </c>
    </row>
    <row r="8" spans="2:20" ht="48" customHeight="1" x14ac:dyDescent="0.25">
      <c r="B8" s="9" t="s">
        <v>83</v>
      </c>
      <c r="C8" s="9" t="s">
        <v>84</v>
      </c>
      <c r="D8" s="9" t="str">
        <f>'📋 Attestation Échantillons '!C8</f>
        <v>Métier</v>
      </c>
      <c r="E8" s="9" t="s">
        <v>85</v>
      </c>
      <c r="F8" s="9" t="s">
        <v>15</v>
      </c>
      <c r="G8" s="9" t="str">
        <f>'📋 Attestation Échantillons '!C13</f>
        <v>Digital Performance</v>
      </c>
      <c r="H8" s="9" t="s">
        <v>55</v>
      </c>
      <c r="I8" s="9" t="str">
        <f>'📋 Attestation Échantillons '!C10</f>
        <v>Catalogue</v>
      </c>
      <c r="J8" s="9" t="s">
        <v>54</v>
      </c>
      <c r="K8" s="9" t="str">
        <f>'📋 Attestation Échantillons '!E8</f>
        <v>Moyenne</v>
      </c>
      <c r="L8" s="9" t="s">
        <v>86</v>
      </c>
      <c r="M8" s="9" t="s">
        <v>38</v>
      </c>
      <c r="N8" s="9" t="s">
        <v>87</v>
      </c>
      <c r="O8" s="9" t="s">
        <v>72</v>
      </c>
      <c r="P8" s="9" t="s">
        <v>55</v>
      </c>
      <c r="Q8" s="9" t="s">
        <v>55</v>
      </c>
      <c r="R8" s="9" t="s">
        <v>42</v>
      </c>
      <c r="S8" s="9" t="s">
        <v>55</v>
      </c>
      <c r="T8" s="9" t="s">
        <v>55</v>
      </c>
    </row>
    <row r="9" spans="2:20" ht="72" customHeight="1" x14ac:dyDescent="0.25">
      <c r="B9" s="10" t="s">
        <v>88</v>
      </c>
      <c r="C9" s="10" t="s">
        <v>89</v>
      </c>
      <c r="D9" s="10" t="str">
        <f>'📋 e-RBI'!C8</f>
        <v>Métier</v>
      </c>
      <c r="E9" s="10" t="s">
        <v>90</v>
      </c>
      <c r="F9" s="10" t="s">
        <v>15</v>
      </c>
      <c r="G9" s="10" t="str">
        <f>'📋 e-RBI'!C13</f>
        <v>ONE TECHNOLOGY</v>
      </c>
      <c r="H9" s="10" t="s">
        <v>55</v>
      </c>
      <c r="I9" s="10" t="str">
        <f>'📋 e-RBI'!C10</f>
        <v>Pipeline</v>
      </c>
      <c r="J9" s="10" t="s">
        <v>36</v>
      </c>
      <c r="K9" s="10" t="str">
        <f>'📋 e-RBI'!E8</f>
        <v>Élevée</v>
      </c>
      <c r="L9" s="10" t="s">
        <v>92</v>
      </c>
      <c r="M9" s="10" t="s">
        <v>38</v>
      </c>
      <c r="N9" s="10" t="s">
        <v>93</v>
      </c>
      <c r="O9" s="10"/>
      <c r="P9" s="10" t="s">
        <v>55</v>
      </c>
      <c r="Q9" s="10" t="s">
        <v>55</v>
      </c>
      <c r="R9" s="10" t="s">
        <v>42</v>
      </c>
      <c r="S9" s="10" t="s">
        <v>55</v>
      </c>
      <c r="T9" s="10" t="s">
        <v>55</v>
      </c>
    </row>
    <row r="10" spans="2:20" ht="60" customHeight="1" x14ac:dyDescent="0.25">
      <c r="B10" s="9" t="s">
        <v>94</v>
      </c>
      <c r="C10" s="9" t="s">
        <v>95</v>
      </c>
      <c r="D10" s="9" t="str">
        <f>'📋 Tarkhiss'!C8</f>
        <v>Métier</v>
      </c>
      <c r="E10" s="9" t="s">
        <v>96</v>
      </c>
      <c r="F10" s="9" t="s">
        <v>15</v>
      </c>
      <c r="G10" s="9" t="str">
        <f>'📋 Tarkhiss'!C13</f>
        <v>CDG Incept / Ribatis</v>
      </c>
      <c r="H10" s="9" t="s">
        <v>98</v>
      </c>
      <c r="I10" s="9" t="str">
        <f>'📋 Tarkhiss'!C10</f>
        <v>Catalogue</v>
      </c>
      <c r="J10" s="9" t="s">
        <v>99</v>
      </c>
      <c r="K10" s="9" t="str">
        <f>'📋 Tarkhiss'!E8</f>
        <v>Critique</v>
      </c>
      <c r="L10" s="9" t="s">
        <v>100</v>
      </c>
      <c r="M10" s="9" t="s">
        <v>70</v>
      </c>
      <c r="N10" s="9" t="s">
        <v>101</v>
      </c>
      <c r="O10" s="9"/>
      <c r="P10" s="9" t="s">
        <v>102</v>
      </c>
      <c r="Q10" s="9" t="s">
        <v>58</v>
      </c>
      <c r="R10" s="9" t="s">
        <v>42</v>
      </c>
      <c r="S10" s="9" t="s">
        <v>55</v>
      </c>
      <c r="T10" s="9" t="s">
        <v>55</v>
      </c>
    </row>
    <row r="11" spans="2:20" ht="36" customHeight="1" x14ac:dyDescent="0.25">
      <c r="B11" s="10" t="s">
        <v>103</v>
      </c>
      <c r="C11" s="10" t="s">
        <v>104</v>
      </c>
      <c r="D11" s="10" t="str">
        <f>'📋 Gestion de Délais'!C8</f>
        <v>Métier</v>
      </c>
      <c r="E11" s="10" t="s">
        <v>105</v>
      </c>
      <c r="F11" s="10" t="s">
        <v>34</v>
      </c>
      <c r="G11" s="10" t="str">
        <f>'📋 Gestion de Délais'!C13</f>
        <v>-</v>
      </c>
      <c r="H11" s="10" t="s">
        <v>106</v>
      </c>
      <c r="I11" s="10" t="str">
        <f>'📋 Gestion de Délais'!C10</f>
        <v>Pipeline</v>
      </c>
      <c r="J11" s="10" t="s">
        <v>36</v>
      </c>
      <c r="K11" s="10" t="str">
        <f>'📋 Gestion de Délais'!E8</f>
        <v>Critique</v>
      </c>
      <c r="L11" s="10" t="s">
        <v>107</v>
      </c>
      <c r="M11" s="10" t="s">
        <v>38</v>
      </c>
      <c r="N11" s="10" t="s">
        <v>108</v>
      </c>
      <c r="O11" s="10"/>
      <c r="P11" s="10" t="s">
        <v>40</v>
      </c>
      <c r="Q11" s="10" t="s">
        <v>109</v>
      </c>
      <c r="R11" s="10" t="s">
        <v>42</v>
      </c>
      <c r="S11" s="10" t="s">
        <v>110</v>
      </c>
      <c r="T11" s="10" t="s">
        <v>110</v>
      </c>
    </row>
    <row r="12" spans="2:20" ht="60" customHeight="1" x14ac:dyDescent="0.25">
      <c r="B12" s="9" t="s">
        <v>111</v>
      </c>
      <c r="C12" s="9" t="s">
        <v>112</v>
      </c>
      <c r="D12" s="9" t="str">
        <f>'📋 MA Tracker'!C8</f>
        <v>Métier</v>
      </c>
      <c r="E12" s="9" t="s">
        <v>113</v>
      </c>
      <c r="F12" s="9" t="s">
        <v>34</v>
      </c>
      <c r="G12" s="9" t="str">
        <f>'📋 MA Tracker'!C13</f>
        <v>-</v>
      </c>
      <c r="H12" s="9" t="s">
        <v>55</v>
      </c>
      <c r="I12" s="9" t="str">
        <f>'📋 MA Tracker'!C10</f>
        <v>Pipeline</v>
      </c>
      <c r="J12" s="9" t="s">
        <v>54</v>
      </c>
      <c r="K12" s="9" t="str">
        <f>'📋 MA Tracker'!E8</f>
        <v>-</v>
      </c>
      <c r="L12" s="9" t="s">
        <v>55</v>
      </c>
      <c r="M12" s="9" t="s">
        <v>38</v>
      </c>
      <c r="N12" s="9" t="s">
        <v>114</v>
      </c>
      <c r="O12" s="9"/>
      <c r="P12" s="9" t="s">
        <v>55</v>
      </c>
      <c r="Q12" s="9" t="s">
        <v>55</v>
      </c>
      <c r="R12" s="9" t="s">
        <v>42</v>
      </c>
      <c r="S12" s="9" t="s">
        <v>55</v>
      </c>
      <c r="T12" s="9" t="s">
        <v>55</v>
      </c>
    </row>
    <row r="13" spans="2:20" ht="60" customHeight="1" x14ac:dyDescent="0.25">
      <c r="B13" s="9" t="s">
        <v>115</v>
      </c>
      <c r="C13" s="9" t="s">
        <v>116</v>
      </c>
      <c r="D13" s="9" t="s">
        <v>117</v>
      </c>
      <c r="E13" s="9" t="s">
        <v>118</v>
      </c>
      <c r="F13" s="9" t="s">
        <v>34</v>
      </c>
      <c r="G13" s="9" t="str">
        <f>'📋 MA Tracker'!C13</f>
        <v>-</v>
      </c>
      <c r="H13" s="9" t="s">
        <v>55</v>
      </c>
      <c r="I13" s="9" t="str">
        <f>'📋 Intranet Qualité'!C10</f>
        <v>Pipeline</v>
      </c>
      <c r="J13" s="9" t="s">
        <v>36</v>
      </c>
      <c r="K13" s="9" t="s">
        <v>120</v>
      </c>
      <c r="L13" s="9" t="s">
        <v>55</v>
      </c>
      <c r="M13" s="9" t="s">
        <v>70</v>
      </c>
      <c r="N13" s="9" t="s">
        <v>121</v>
      </c>
      <c r="O13" s="9" t="s">
        <v>55</v>
      </c>
      <c r="P13" s="9" t="s">
        <v>40</v>
      </c>
      <c r="Q13" s="9" t="s">
        <v>122</v>
      </c>
      <c r="R13" s="9" t="s">
        <v>42</v>
      </c>
      <c r="S13" s="9" t="s">
        <v>55</v>
      </c>
      <c r="T13" s="9" t="s">
        <v>55</v>
      </c>
    </row>
    <row r="14" spans="2:20" ht="48" customHeight="1" x14ac:dyDescent="0.25">
      <c r="B14" s="9" t="s">
        <v>123</v>
      </c>
      <c r="C14" s="9" t="s">
        <v>124</v>
      </c>
      <c r="D14" s="9" t="s">
        <v>117</v>
      </c>
      <c r="E14" s="9" t="s">
        <v>125</v>
      </c>
      <c r="F14" s="9" t="s">
        <v>126</v>
      </c>
      <c r="G14" s="9" t="str">
        <f>'📋 LIMS LabVantage'!C13</f>
        <v>LabVantage Solutions</v>
      </c>
      <c r="H14" s="9" t="s">
        <v>55</v>
      </c>
      <c r="I14" s="9" t="str">
        <f>'📋 LIMS LabVantage'!C10</f>
        <v>Pipeline</v>
      </c>
      <c r="J14" s="9" t="s">
        <v>36</v>
      </c>
      <c r="K14" s="9" t="s">
        <v>128</v>
      </c>
      <c r="L14" s="9" t="s">
        <v>129</v>
      </c>
      <c r="M14" s="9" t="s">
        <v>38</v>
      </c>
      <c r="N14" s="9" t="s">
        <v>130</v>
      </c>
      <c r="O14" s="9" t="s">
        <v>55</v>
      </c>
      <c r="P14" s="9" t="s">
        <v>55</v>
      </c>
      <c r="Q14" s="9" t="s">
        <v>41</v>
      </c>
      <c r="R14" s="9" t="s">
        <v>42</v>
      </c>
      <c r="S14" s="9" t="s">
        <v>55</v>
      </c>
      <c r="T14" s="9" t="s">
        <v>55</v>
      </c>
    </row>
    <row r="15" spans="2:20" ht="48" customHeight="1" x14ac:dyDescent="0.25"/>
    <row r="16" spans="2:20" ht="60" customHeight="1" x14ac:dyDescent="0.25"/>
    <row r="17" ht="48" customHeight="1" x14ac:dyDescent="0.25"/>
    <row r="18" ht="60" customHeight="1" x14ac:dyDescent="0.25"/>
  </sheetData>
  <conditionalFormatting sqref="I2:I18">
    <cfRule type="expression" dxfId="123" priority="7">
      <formula>$I2="Pipeline"</formula>
    </cfRule>
    <cfRule type="expression" dxfId="122" priority="8">
      <formula>$I2="Catalogue"</formula>
    </cfRule>
    <cfRule type="expression" dxfId="121" priority="9">
      <formula>$I2="Retraité"</formula>
    </cfRule>
  </conditionalFormatting>
  <conditionalFormatting sqref="K2:K18">
    <cfRule type="expression" dxfId="120" priority="2">
      <formula>$K2="Critique"</formula>
    </cfRule>
    <cfRule type="expression" dxfId="119" priority="3">
      <formula>$K2="Haute"</formula>
    </cfRule>
    <cfRule type="expression" dxfId="118" priority="4">
      <formula>$K2="Élevée"</formula>
    </cfRule>
    <cfRule type="expression" dxfId="117" priority="5">
      <formula>$K2="Moyenne"</formula>
    </cfRule>
    <cfRule type="expression" dxfId="116" priority="6">
      <formula>$K2="Faible"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64"/>
  <sheetViews>
    <sheetView showGridLines="0" topLeftCell="A43" zoomScaleNormal="100" workbookViewId="0">
      <selection activeCell="C56" sqref="C56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131</v>
      </c>
      <c r="C1" s="24"/>
    </row>
    <row r="2" spans="2:5" ht="24" customHeight="1" x14ac:dyDescent="0.25">
      <c r="B2" s="22" t="str">
        <f>_xlfn.CONCAT(B10,": ",C10)</f>
        <v>Statut Portfolio: Catalogue</v>
      </c>
      <c r="C2" s="12" t="s">
        <v>132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31</v>
      </c>
    </row>
    <row r="6" spans="2:5" ht="19.5" customHeight="1" x14ac:dyDescent="0.25">
      <c r="B6" s="13" t="s">
        <v>9</v>
      </c>
      <c r="C6" s="10" t="s">
        <v>40</v>
      </c>
    </row>
    <row r="7" spans="2:5" ht="19.5" customHeight="1" x14ac:dyDescent="0.25">
      <c r="B7" s="13" t="s">
        <v>27</v>
      </c>
      <c r="C7" s="10" t="s">
        <v>41</v>
      </c>
    </row>
    <row r="8" spans="2:5" ht="19.5" customHeight="1" x14ac:dyDescent="0.25">
      <c r="B8" s="13" t="s">
        <v>8</v>
      </c>
      <c r="C8" s="10" t="s">
        <v>117</v>
      </c>
      <c r="E8" s="14" t="s">
        <v>120</v>
      </c>
    </row>
    <row r="9" spans="2:5" ht="19.5" customHeight="1" x14ac:dyDescent="0.25">
      <c r="B9" s="13" t="s">
        <v>135</v>
      </c>
      <c r="C9" s="10" t="s">
        <v>35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33</v>
      </c>
    </row>
    <row r="17" spans="2:3" ht="19.5" customHeight="1" x14ac:dyDescent="0.25">
      <c r="B17" s="13" t="s">
        <v>138</v>
      </c>
      <c r="C17" s="10" t="s">
        <v>139</v>
      </c>
    </row>
    <row r="18" spans="2:3" ht="19.5" customHeight="1" x14ac:dyDescent="0.25">
      <c r="B18" s="13" t="s">
        <v>140</v>
      </c>
      <c r="C18" s="10" t="s">
        <v>141</v>
      </c>
    </row>
    <row r="19" spans="2:3" ht="19.5" customHeight="1" x14ac:dyDescent="0.25">
      <c r="B19" s="13" t="s">
        <v>142</v>
      </c>
      <c r="C19" s="10" t="s">
        <v>143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146</v>
      </c>
    </row>
    <row r="23" spans="2:3" ht="19.5" customHeight="1" x14ac:dyDescent="0.25">
      <c r="B23" s="13" t="s">
        <v>147</v>
      </c>
      <c r="C23" s="10" t="s">
        <v>148</v>
      </c>
    </row>
    <row r="24" spans="2:3" ht="19.5" customHeight="1" x14ac:dyDescent="0.25">
      <c r="B24" s="13" t="s">
        <v>149</v>
      </c>
      <c r="C24" s="10" t="s">
        <v>150</v>
      </c>
    </row>
    <row r="25" spans="2:3" ht="19.5" customHeight="1" x14ac:dyDescent="0.25">
      <c r="B25" s="13" t="s">
        <v>151</v>
      </c>
      <c r="C25" s="10" t="s">
        <v>152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39</v>
      </c>
    </row>
    <row r="29" spans="2:3" ht="19.5" customHeight="1" x14ac:dyDescent="0.25">
      <c r="B29" s="13" t="s">
        <v>155</v>
      </c>
      <c r="C29" s="10" t="s">
        <v>156</v>
      </c>
    </row>
    <row r="30" spans="2:3" ht="19.5" customHeight="1" x14ac:dyDescent="0.25">
      <c r="B30" s="13" t="s">
        <v>24</v>
      </c>
      <c r="C30" s="10" t="s">
        <v>37</v>
      </c>
    </row>
    <row r="31" spans="2:3" ht="19.5" customHeight="1" x14ac:dyDescent="0.25">
      <c r="B31" s="13" t="s">
        <v>157</v>
      </c>
      <c r="C31" s="10" t="s">
        <v>158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161</v>
      </c>
    </row>
    <row r="35" spans="2:3" ht="19.5" customHeight="1" x14ac:dyDescent="0.25">
      <c r="B35" s="13" t="s">
        <v>162</v>
      </c>
      <c r="C35" s="10" t="s">
        <v>163</v>
      </c>
    </row>
    <row r="36" spans="2:3" ht="19.5" customHeight="1" x14ac:dyDescent="0.25">
      <c r="B36" s="13" t="s">
        <v>164</v>
      </c>
      <c r="C36" s="10" t="s">
        <v>165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42</v>
      </c>
    </row>
    <row r="42" spans="2:3" ht="19.5" customHeight="1" x14ac:dyDescent="0.25">
      <c r="B42" s="13" t="s">
        <v>29</v>
      </c>
      <c r="C42" s="10" t="s">
        <v>43</v>
      </c>
    </row>
    <row r="43" spans="2:3" ht="19.5" customHeight="1" x14ac:dyDescent="0.25">
      <c r="B43" s="13" t="s">
        <v>30</v>
      </c>
      <c r="C43" s="10" t="s">
        <v>43</v>
      </c>
    </row>
    <row r="44" spans="2:3" ht="19.5" customHeight="1" x14ac:dyDescent="0.25">
      <c r="B44" s="13" t="s">
        <v>171</v>
      </c>
      <c r="C44" s="10" t="s">
        <v>172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175</v>
      </c>
    </row>
    <row r="48" spans="2:3" ht="19.5" customHeight="1" x14ac:dyDescent="0.25">
      <c r="B48" s="13" t="s">
        <v>176</v>
      </c>
      <c r="C48" s="10" t="s">
        <v>177</v>
      </c>
    </row>
    <row r="49" spans="2:3" ht="19.5" customHeight="1" x14ac:dyDescent="0.25">
      <c r="B49" s="13" t="s">
        <v>178</v>
      </c>
      <c r="C49" s="10" t="s">
        <v>167</v>
      </c>
    </row>
    <row r="50" spans="2:3" ht="19.5" customHeight="1" x14ac:dyDescent="0.25">
      <c r="B50" s="13" t="s">
        <v>179</v>
      </c>
      <c r="C50" s="10" t="s">
        <v>167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182</v>
      </c>
    </row>
    <row r="54" spans="2:3" ht="19.5" customHeight="1" x14ac:dyDescent="0.25">
      <c r="B54" s="13" t="s">
        <v>183</v>
      </c>
      <c r="C54" s="15" t="s">
        <v>182</v>
      </c>
    </row>
    <row r="55" spans="2:3" ht="19.5" customHeight="1" x14ac:dyDescent="0.25">
      <c r="B55" s="13" t="s">
        <v>184</v>
      </c>
      <c r="C55" s="12" t="s">
        <v>185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115" priority="2">
      <formula>$C$10="Pipeline"</formula>
    </cfRule>
    <cfRule type="expression" dxfId="114" priority="3">
      <formula>$C$10="Catalogue"</formula>
    </cfRule>
    <cfRule type="expression" dxfId="113" priority="4">
      <formula>$C$10="Retraité"</formula>
    </cfRule>
  </conditionalFormatting>
  <conditionalFormatting sqref="C34">
    <cfRule type="expression" dxfId="112" priority="10">
      <formula>$C$34="Oui"</formula>
    </cfRule>
    <cfRule type="expression" dxfId="111" priority="11">
      <formula>$C$34="Non"</formula>
    </cfRule>
  </conditionalFormatting>
  <conditionalFormatting sqref="E8">
    <cfRule type="expression" dxfId="110" priority="5">
      <formula>$E$8="Critique"</formula>
    </cfRule>
    <cfRule type="expression" dxfId="109" priority="6">
      <formula>$E$8="Haute"</formula>
    </cfRule>
    <cfRule type="expression" dxfId="108" priority="7">
      <formula>$E$8="Élevée"</formula>
    </cfRule>
    <cfRule type="expression" dxfId="107" priority="8">
      <formula>$E$8="Moyenne"</formula>
    </cfRule>
    <cfRule type="expression" dxfId="10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2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200-000001000000}">
      <formula1>"Pipeline,Catalogue,Retraité"</formula1>
      <formula2>0</formula2>
    </dataValidation>
    <dataValidation type="list" allowBlank="1" sqref="E8" xr:uid="{00000000-0002-0000-02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2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64"/>
  <sheetViews>
    <sheetView showGridLines="0" zoomScaleNormal="100" workbookViewId="0">
      <selection activeCell="G20" sqref="G20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299</v>
      </c>
      <c r="C1" s="24"/>
    </row>
    <row r="2" spans="2:5" ht="24" customHeight="1" x14ac:dyDescent="0.25">
      <c r="B2" s="22" t="str">
        <f>_xlfn.CONCAT(B10,": ",C10)</f>
        <v>Statut Portfolio: Catalogue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44</v>
      </c>
    </row>
    <row r="6" spans="2:5" ht="19.5" customHeight="1" x14ac:dyDescent="0.25">
      <c r="B6" s="13" t="s">
        <v>9</v>
      </c>
      <c r="C6" s="10" t="s">
        <v>40</v>
      </c>
    </row>
    <row r="7" spans="2:5" ht="19.5" customHeight="1" x14ac:dyDescent="0.25">
      <c r="B7" s="13" t="s">
        <v>27</v>
      </c>
      <c r="C7" s="10" t="s">
        <v>49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46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45</v>
      </c>
    </row>
    <row r="17" spans="2:3" ht="19.5" customHeight="1" x14ac:dyDescent="0.25">
      <c r="B17" s="13" t="s">
        <v>138</v>
      </c>
      <c r="C17" s="10" t="s">
        <v>191</v>
      </c>
    </row>
    <row r="18" spans="2:3" ht="19.5" customHeight="1" x14ac:dyDescent="0.25">
      <c r="B18" s="13" t="s">
        <v>140</v>
      </c>
      <c r="C18" s="10" t="s">
        <v>192</v>
      </c>
    </row>
    <row r="19" spans="2:3" ht="19.5" customHeight="1" x14ac:dyDescent="0.25">
      <c r="B19" s="13" t="s">
        <v>142</v>
      </c>
      <c r="C19" s="10" t="s">
        <v>49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45</v>
      </c>
    </row>
    <row r="23" spans="2:3" ht="19.5" customHeight="1" x14ac:dyDescent="0.25">
      <c r="B23" s="13" t="s">
        <v>147</v>
      </c>
      <c r="C23" s="10" t="s">
        <v>193</v>
      </c>
    </row>
    <row r="24" spans="2:3" ht="19.5" customHeight="1" x14ac:dyDescent="0.25">
      <c r="B24" s="13" t="s">
        <v>149</v>
      </c>
      <c r="C24" s="10" t="s">
        <v>55</v>
      </c>
    </row>
    <row r="25" spans="2:3" ht="19.5" customHeight="1" x14ac:dyDescent="0.25">
      <c r="B25" s="13" t="s">
        <v>151</v>
      </c>
      <c r="C25" s="10" t="s">
        <v>194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48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47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161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23">
        <v>0.99</v>
      </c>
    </row>
    <row r="42" spans="2:3" ht="19.5" customHeight="1" x14ac:dyDescent="0.25">
      <c r="B42" s="13" t="s">
        <v>29</v>
      </c>
      <c r="C42" s="10" t="s">
        <v>43</v>
      </c>
    </row>
    <row r="43" spans="2:3" ht="19.5" customHeight="1" x14ac:dyDescent="0.25">
      <c r="B43" s="13" t="s">
        <v>30</v>
      </c>
      <c r="C43" s="10" t="s">
        <v>43</v>
      </c>
    </row>
    <row r="44" spans="2:3" ht="19.5" customHeight="1" x14ac:dyDescent="0.25">
      <c r="B44" s="13" t="s">
        <v>171</v>
      </c>
      <c r="C44" s="10" t="s">
        <v>195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196</v>
      </c>
    </row>
    <row r="48" spans="2:3" ht="19.5" customHeight="1" x14ac:dyDescent="0.25">
      <c r="B48" s="13" t="s">
        <v>176</v>
      </c>
      <c r="C48" s="10" t="s">
        <v>197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5" t="s">
        <v>182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105" priority="2">
      <formula>$C$10="Pipeline"</formula>
    </cfRule>
    <cfRule type="expression" dxfId="104" priority="3">
      <formula>$C$10="Catalogue"</formula>
    </cfRule>
    <cfRule type="expression" dxfId="103" priority="4">
      <formula>$C$10="Retraité"</formula>
    </cfRule>
  </conditionalFormatting>
  <conditionalFormatting sqref="C34">
    <cfRule type="expression" dxfId="102" priority="10">
      <formula>$C$34="Oui"</formula>
    </cfRule>
    <cfRule type="expression" dxfId="101" priority="11">
      <formula>$C$34="Non"</formula>
    </cfRule>
  </conditionalFormatting>
  <conditionalFormatting sqref="E8">
    <cfRule type="expression" dxfId="100" priority="5">
      <formula>$E$8="Critique"</formula>
    </cfRule>
    <cfRule type="expression" dxfId="99" priority="6">
      <formula>$E$8="Haute"</formula>
    </cfRule>
    <cfRule type="expression" dxfId="98" priority="7">
      <formula>$E$8="Élevée"</formula>
    </cfRule>
    <cfRule type="expression" dxfId="97" priority="8">
      <formula>$E$8="Moyenne"</formula>
    </cfRule>
    <cfRule type="expression" dxfId="9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3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300-000001000000}">
      <formula1>"Pipeline,Catalogue,Retraité"</formula1>
      <formula2>0</formula2>
    </dataValidation>
    <dataValidation type="list" allowBlank="1" sqref="E8" xr:uid="{00000000-0002-0000-03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3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64"/>
  <sheetViews>
    <sheetView showGridLines="0" topLeftCell="A40" zoomScaleNormal="100" workbookViewId="0">
      <selection activeCell="C53" sqref="C53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198</v>
      </c>
      <c r="C1" s="24"/>
    </row>
    <row r="2" spans="2:5" ht="24" customHeight="1" x14ac:dyDescent="0.25">
      <c r="B2" s="22" t="str">
        <f>_xlfn.CONCAT(B10,": ",C10)</f>
        <v>Statut Portfolio: Catalogue</v>
      </c>
      <c r="C2" s="12" t="s">
        <v>132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50</v>
      </c>
    </row>
    <row r="6" spans="2:5" ht="19.5" customHeight="1" x14ac:dyDescent="0.25">
      <c r="B6" s="13" t="s">
        <v>9</v>
      </c>
      <c r="C6" s="10" t="s">
        <v>40</v>
      </c>
    </row>
    <row r="7" spans="2:5" ht="19.5" customHeight="1" x14ac:dyDescent="0.25">
      <c r="B7" s="13" t="s">
        <v>27</v>
      </c>
      <c r="C7" s="10" t="s">
        <v>58</v>
      </c>
    </row>
    <row r="8" spans="2:5" ht="19.5" customHeight="1" x14ac:dyDescent="0.25">
      <c r="B8" s="13" t="s">
        <v>8</v>
      </c>
      <c r="C8" s="10" t="s">
        <v>199</v>
      </c>
      <c r="E8" s="14" t="s">
        <v>120</v>
      </c>
    </row>
    <row r="9" spans="2:5" ht="19.5" customHeight="1" x14ac:dyDescent="0.25">
      <c r="B9" s="13" t="s">
        <v>135</v>
      </c>
      <c r="C9" s="10" t="s">
        <v>53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52</v>
      </c>
    </row>
    <row r="17" spans="2:3" ht="19.5" customHeight="1" x14ac:dyDescent="0.25">
      <c r="B17" s="13" t="s">
        <v>138</v>
      </c>
      <c r="C17" s="10" t="s">
        <v>200</v>
      </c>
    </row>
    <row r="18" spans="2:3" ht="19.5" customHeight="1" x14ac:dyDescent="0.25">
      <c r="B18" s="13" t="s">
        <v>140</v>
      </c>
      <c r="C18" s="10" t="s">
        <v>201</v>
      </c>
    </row>
    <row r="19" spans="2:3" ht="19.5" customHeight="1" x14ac:dyDescent="0.25">
      <c r="B19" s="13" t="s">
        <v>142</v>
      </c>
      <c r="C19" s="10" t="s">
        <v>202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203</v>
      </c>
    </row>
    <row r="23" spans="2:3" ht="19.5" customHeight="1" x14ac:dyDescent="0.25">
      <c r="B23" s="13" t="s">
        <v>147</v>
      </c>
      <c r="C23" s="10" t="s">
        <v>204</v>
      </c>
    </row>
    <row r="24" spans="2:3" ht="19.5" customHeight="1" x14ac:dyDescent="0.25">
      <c r="B24" s="13" t="s">
        <v>149</v>
      </c>
      <c r="C24" s="10" t="s">
        <v>205</v>
      </c>
    </row>
    <row r="25" spans="2:3" ht="19.5" customHeight="1" x14ac:dyDescent="0.25">
      <c r="B25" s="13" t="s">
        <v>151</v>
      </c>
      <c r="C25" s="10" t="s">
        <v>194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56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55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55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55</v>
      </c>
    </row>
    <row r="38" spans="2:3" ht="19.5" customHeight="1" x14ac:dyDescent="0.25">
      <c r="B38" s="13" t="s">
        <v>168</v>
      </c>
      <c r="C38" s="10" t="s">
        <v>55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95" priority="2">
      <formula>$C$10="Pipeline"</formula>
    </cfRule>
    <cfRule type="expression" dxfId="94" priority="3">
      <formula>$C$10="Catalogue"</formula>
    </cfRule>
    <cfRule type="expression" dxfId="93" priority="4">
      <formula>$C$10="Retraité"</formula>
    </cfRule>
  </conditionalFormatting>
  <conditionalFormatting sqref="C34">
    <cfRule type="expression" dxfId="92" priority="10">
      <formula>$C$34="Oui"</formula>
    </cfRule>
    <cfRule type="expression" dxfId="91" priority="11">
      <formula>$C$34="Non"</formula>
    </cfRule>
  </conditionalFormatting>
  <conditionalFormatting sqref="E8">
    <cfRule type="expression" dxfId="90" priority="5">
      <formula>$E$8="Critique"</formula>
    </cfRule>
    <cfRule type="expression" dxfId="89" priority="6">
      <formula>$E$8="Haute"</formula>
    </cfRule>
    <cfRule type="expression" dxfId="88" priority="7">
      <formula>$E$8="Élevée"</formula>
    </cfRule>
    <cfRule type="expression" dxfId="87" priority="8">
      <formula>$E$8="Moyenne"</formula>
    </cfRule>
    <cfRule type="expression" dxfId="8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4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400-000001000000}">
      <formula1>"Pipeline,Catalogue,Retraité"</formula1>
      <formula2>0</formula2>
    </dataValidation>
    <dataValidation type="list" allowBlank="1" sqref="E8" xr:uid="{00000000-0002-0000-04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4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64"/>
  <sheetViews>
    <sheetView showGridLines="0" topLeftCell="A42" zoomScaleNormal="100" workbookViewId="0">
      <selection activeCell="C55" sqref="C55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206</v>
      </c>
      <c r="C1" s="24"/>
    </row>
    <row r="2" spans="2:5" ht="24" customHeight="1" x14ac:dyDescent="0.25">
      <c r="B2" s="22" t="str">
        <f>_xlfn.CONCAT(B10,": ",C10)</f>
        <v>Statut Portfolio: Catalogue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59</v>
      </c>
    </row>
    <row r="6" spans="2:5" ht="19.5" customHeight="1" x14ac:dyDescent="0.25">
      <c r="B6" s="13" t="s">
        <v>9</v>
      </c>
      <c r="C6" s="10" t="s">
        <v>58</v>
      </c>
    </row>
    <row r="7" spans="2:5" ht="19.5" customHeight="1" x14ac:dyDescent="0.25">
      <c r="B7" s="13" t="s">
        <v>27</v>
      </c>
      <c r="C7" s="10" t="s">
        <v>64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62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40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61</v>
      </c>
    </row>
    <row r="17" spans="2:3" ht="19.5" customHeight="1" x14ac:dyDescent="0.25">
      <c r="B17" s="13" t="s">
        <v>138</v>
      </c>
      <c r="C17" s="10" t="s">
        <v>207</v>
      </c>
    </row>
    <row r="18" spans="2:3" ht="19.5" customHeight="1" x14ac:dyDescent="0.25">
      <c r="B18" s="13" t="s">
        <v>140</v>
      </c>
      <c r="C18" s="10" t="s">
        <v>208</v>
      </c>
    </row>
    <row r="19" spans="2:3" ht="19.5" customHeight="1" x14ac:dyDescent="0.25">
      <c r="B19" s="13" t="s">
        <v>142</v>
      </c>
      <c r="C19" s="10" t="s">
        <v>209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210</v>
      </c>
    </row>
    <row r="23" spans="2:3" ht="19.5" customHeight="1" x14ac:dyDescent="0.25">
      <c r="B23" s="13" t="s">
        <v>147</v>
      </c>
      <c r="C23" s="10" t="s">
        <v>211</v>
      </c>
    </row>
    <row r="24" spans="2:3" ht="19.5" customHeight="1" x14ac:dyDescent="0.25">
      <c r="B24" s="13" t="s">
        <v>149</v>
      </c>
      <c r="C24" s="10" t="s">
        <v>212</v>
      </c>
    </row>
    <row r="25" spans="2:3" ht="19.5" customHeight="1" x14ac:dyDescent="0.25">
      <c r="B25" s="13" t="s">
        <v>151</v>
      </c>
      <c r="C25" s="10" t="s">
        <v>194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63</v>
      </c>
    </row>
    <row r="29" spans="2:3" ht="19.5" customHeight="1" x14ac:dyDescent="0.25">
      <c r="B29" s="13" t="s">
        <v>155</v>
      </c>
      <c r="C29" s="10" t="s">
        <v>156</v>
      </c>
    </row>
    <row r="30" spans="2:3" ht="19.5" customHeight="1" x14ac:dyDescent="0.25">
      <c r="B30" s="13" t="s">
        <v>24</v>
      </c>
      <c r="C30" s="10" t="s">
        <v>37</v>
      </c>
    </row>
    <row r="31" spans="2:3" ht="19.5" customHeight="1" x14ac:dyDescent="0.25">
      <c r="B31" s="13" t="s">
        <v>157</v>
      </c>
      <c r="C31" s="10" t="s">
        <v>213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214</v>
      </c>
    </row>
    <row r="36" spans="2:3" ht="19.5" customHeight="1" x14ac:dyDescent="0.25">
      <c r="B36" s="13" t="s">
        <v>164</v>
      </c>
      <c r="C36" s="10" t="s">
        <v>215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42</v>
      </c>
    </row>
    <row r="42" spans="2:3" ht="19.5" customHeight="1" x14ac:dyDescent="0.25">
      <c r="B42" s="13" t="s">
        <v>29</v>
      </c>
      <c r="C42" s="10" t="s">
        <v>43</v>
      </c>
    </row>
    <row r="43" spans="2:3" ht="19.5" customHeight="1" x14ac:dyDescent="0.25">
      <c r="B43" s="13" t="s">
        <v>30</v>
      </c>
      <c r="C43" s="10" t="s">
        <v>43</v>
      </c>
    </row>
    <row r="44" spans="2:3" ht="19.5" customHeight="1" x14ac:dyDescent="0.25">
      <c r="B44" s="13" t="s">
        <v>171</v>
      </c>
      <c r="C44" s="10" t="s">
        <v>172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175</v>
      </c>
    </row>
    <row r="48" spans="2:3" ht="19.5" customHeight="1" x14ac:dyDescent="0.25">
      <c r="B48" s="13" t="s">
        <v>176</v>
      </c>
      <c r="C48" s="10" t="s">
        <v>177</v>
      </c>
    </row>
    <row r="49" spans="2:3" ht="19.5" customHeight="1" x14ac:dyDescent="0.25">
      <c r="B49" s="13" t="s">
        <v>178</v>
      </c>
      <c r="C49" s="10" t="s">
        <v>167</v>
      </c>
    </row>
    <row r="50" spans="2:3" ht="19.5" customHeight="1" x14ac:dyDescent="0.25">
      <c r="B50" s="13" t="s">
        <v>179</v>
      </c>
      <c r="C50" s="10" t="s">
        <v>167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182</v>
      </c>
    </row>
    <row r="54" spans="2:3" ht="19.5" customHeight="1" x14ac:dyDescent="0.25">
      <c r="B54" s="13" t="s">
        <v>183</v>
      </c>
      <c r="C54" s="18" t="s">
        <v>216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85" priority="2">
      <formula>$C$10="Pipeline"</formula>
    </cfRule>
    <cfRule type="expression" dxfId="84" priority="3">
      <formula>$C$10="Catalogue"</formula>
    </cfRule>
    <cfRule type="expression" dxfId="83" priority="4">
      <formula>$C$10="Retraité"</formula>
    </cfRule>
  </conditionalFormatting>
  <conditionalFormatting sqref="C34">
    <cfRule type="expression" dxfId="82" priority="10">
      <formula>$C$34="Oui"</formula>
    </cfRule>
    <cfRule type="expression" dxfId="81" priority="11">
      <formula>$C$34="Non"</formula>
    </cfRule>
  </conditionalFormatting>
  <conditionalFormatting sqref="E8">
    <cfRule type="expression" dxfId="80" priority="5">
      <formula>$E$8="Critique"</formula>
    </cfRule>
    <cfRule type="expression" dxfId="79" priority="6">
      <formula>$E$8="Haute"</formula>
    </cfRule>
    <cfRule type="expression" dxfId="78" priority="7">
      <formula>$E$8="Élevée"</formula>
    </cfRule>
    <cfRule type="expression" dxfId="77" priority="8">
      <formula>$E$8="Moyenne"</formula>
    </cfRule>
    <cfRule type="expression" dxfId="7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5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500-000001000000}">
      <formula1>"Pipeline,Catalogue,Retraité"</formula1>
      <formula2>0</formula2>
    </dataValidation>
    <dataValidation type="list" allowBlank="1" sqref="E8" xr:uid="{00000000-0002-0000-05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5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64"/>
  <sheetViews>
    <sheetView showGridLines="0" topLeftCell="A40" zoomScaleNormal="100" workbookViewId="0">
      <selection activeCell="C56" activeCellId="1" sqref="C53:C54 C56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217</v>
      </c>
      <c r="C1" s="24"/>
    </row>
    <row r="2" spans="2:5" ht="24" customHeight="1" x14ac:dyDescent="0.25">
      <c r="B2" s="22" t="str">
        <f>_xlfn.CONCAT(B10,": ",C10)</f>
        <v>Statut Portfolio: Catalogue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65</v>
      </c>
    </row>
    <row r="6" spans="2:5" ht="19.5" customHeight="1" x14ac:dyDescent="0.25">
      <c r="B6" s="13" t="s">
        <v>9</v>
      </c>
      <c r="C6" s="10" t="s">
        <v>55</v>
      </c>
    </row>
    <row r="7" spans="2:5" ht="19.5" customHeight="1" x14ac:dyDescent="0.25">
      <c r="B7" s="13" t="s">
        <v>27</v>
      </c>
      <c r="C7" s="10" t="s">
        <v>73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69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70</v>
      </c>
    </row>
    <row r="12" spans="2:5" ht="19.5" customHeight="1" x14ac:dyDescent="0.25">
      <c r="B12" s="13" t="s">
        <v>21</v>
      </c>
      <c r="C12" s="10" t="s">
        <v>15</v>
      </c>
    </row>
    <row r="13" spans="2:5" ht="19.5" customHeight="1" x14ac:dyDescent="0.25">
      <c r="B13" s="13" t="s">
        <v>15</v>
      </c>
      <c r="C13" s="10" t="s">
        <v>68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67</v>
      </c>
    </row>
    <row r="17" spans="2:3" ht="19.5" customHeight="1" x14ac:dyDescent="0.25">
      <c r="B17" s="13" t="s">
        <v>138</v>
      </c>
      <c r="C17" s="10" t="s">
        <v>218</v>
      </c>
    </row>
    <row r="18" spans="2:3" ht="19.5" customHeight="1" x14ac:dyDescent="0.25">
      <c r="B18" s="13" t="s">
        <v>140</v>
      </c>
      <c r="C18" s="10" t="s">
        <v>219</v>
      </c>
    </row>
    <row r="19" spans="2:3" ht="19.5" customHeight="1" x14ac:dyDescent="0.25">
      <c r="B19" s="13" t="s">
        <v>142</v>
      </c>
      <c r="C19" s="10" t="s">
        <v>73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220</v>
      </c>
    </row>
    <row r="23" spans="2:3" ht="19.5" customHeight="1" x14ac:dyDescent="0.25">
      <c r="B23" s="13" t="s">
        <v>147</v>
      </c>
      <c r="C23" s="10" t="s">
        <v>221</v>
      </c>
    </row>
    <row r="24" spans="2:3" ht="19.5" customHeight="1" x14ac:dyDescent="0.25">
      <c r="B24" s="13" t="s">
        <v>149</v>
      </c>
      <c r="C24" s="10" t="s">
        <v>222</v>
      </c>
    </row>
    <row r="25" spans="2:3" ht="19.5" customHeight="1" x14ac:dyDescent="0.25">
      <c r="B25" s="13" t="s">
        <v>151</v>
      </c>
      <c r="C25" s="10" t="s">
        <v>194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71</v>
      </c>
    </row>
    <row r="29" spans="2:3" ht="19.5" customHeight="1" x14ac:dyDescent="0.25">
      <c r="B29" s="13" t="s">
        <v>155</v>
      </c>
      <c r="C29" s="10" t="s">
        <v>223</v>
      </c>
    </row>
    <row r="30" spans="2:3" ht="19.5" customHeight="1" x14ac:dyDescent="0.25">
      <c r="B30" s="13" t="s">
        <v>24</v>
      </c>
      <c r="C30" s="10" t="s">
        <v>37</v>
      </c>
    </row>
    <row r="31" spans="2:3" ht="19.5" customHeight="1" x14ac:dyDescent="0.25">
      <c r="B31" s="13" t="s">
        <v>157</v>
      </c>
      <c r="C31" s="10" t="s">
        <v>224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214</v>
      </c>
    </row>
    <row r="36" spans="2:3" ht="19.5" customHeight="1" x14ac:dyDescent="0.25">
      <c r="B36" s="13" t="s">
        <v>164</v>
      </c>
      <c r="C36" s="10" t="s">
        <v>215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42</v>
      </c>
    </row>
    <row r="42" spans="2:3" ht="19.5" customHeight="1" x14ac:dyDescent="0.25">
      <c r="B42" s="13" t="s">
        <v>29</v>
      </c>
      <c r="C42" s="10" t="s">
        <v>43</v>
      </c>
    </row>
    <row r="43" spans="2:3" ht="19.5" customHeight="1" x14ac:dyDescent="0.25">
      <c r="B43" s="13" t="s">
        <v>30</v>
      </c>
      <c r="C43" s="10" t="s">
        <v>74</v>
      </c>
    </row>
    <row r="44" spans="2:3" ht="19.5" customHeight="1" x14ac:dyDescent="0.25">
      <c r="B44" s="13" t="s">
        <v>171</v>
      </c>
      <c r="C44" s="10" t="s">
        <v>172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175</v>
      </c>
    </row>
    <row r="48" spans="2:3" ht="19.5" customHeight="1" x14ac:dyDescent="0.25">
      <c r="B48" s="13" t="s">
        <v>176</v>
      </c>
      <c r="C48" s="10" t="s">
        <v>225</v>
      </c>
    </row>
    <row r="49" spans="2:3" ht="19.5" customHeight="1" x14ac:dyDescent="0.25">
      <c r="B49" s="13" t="s">
        <v>178</v>
      </c>
      <c r="C49" s="10" t="s">
        <v>161</v>
      </c>
    </row>
    <row r="50" spans="2:3" ht="19.5" customHeight="1" x14ac:dyDescent="0.25">
      <c r="B50" s="13" t="s">
        <v>179</v>
      </c>
      <c r="C50" s="10" t="s">
        <v>161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5" t="s">
        <v>182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75" priority="2">
      <formula>$C$10="Pipeline"</formula>
    </cfRule>
    <cfRule type="expression" dxfId="74" priority="3">
      <formula>$C$10="Catalogue"</formula>
    </cfRule>
    <cfRule type="expression" dxfId="73" priority="4">
      <formula>$C$10="Retraité"</formula>
    </cfRule>
  </conditionalFormatting>
  <conditionalFormatting sqref="C34">
    <cfRule type="expression" dxfId="72" priority="10">
      <formula>$C$34="Oui"</formula>
    </cfRule>
    <cfRule type="expression" dxfId="71" priority="11">
      <formula>$C$34="Non"</formula>
    </cfRule>
  </conditionalFormatting>
  <conditionalFormatting sqref="E8">
    <cfRule type="expression" dxfId="70" priority="5">
      <formula>$E$8="Critique"</formula>
    </cfRule>
    <cfRule type="expression" dxfId="69" priority="6">
      <formula>$E$8="Haute"</formula>
    </cfRule>
    <cfRule type="expression" dxfId="68" priority="7">
      <formula>$E$8="Élevée"</formula>
    </cfRule>
    <cfRule type="expression" dxfId="67" priority="8">
      <formula>$E$8="Moyenne"</formula>
    </cfRule>
    <cfRule type="expression" dxfId="6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6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600-000001000000}">
      <formula1>"Pipeline,Catalogue,Retraité"</formula1>
      <formula2>0</formula2>
    </dataValidation>
    <dataValidation type="list" allowBlank="1" sqref="E8" xr:uid="{00000000-0002-0000-06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6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64"/>
  <sheetViews>
    <sheetView showGridLines="0" topLeftCell="A43" zoomScaleNormal="100" workbookViewId="0">
      <selection activeCell="C56" sqref="C56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226</v>
      </c>
      <c r="C1" s="24"/>
    </row>
    <row r="2" spans="2:5" ht="24" customHeight="1" x14ac:dyDescent="0.25">
      <c r="B2" s="22" t="str">
        <f>_xlfn.CONCAT(B10,": ",C10)</f>
        <v>Statut Portfolio: Catalogue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75</v>
      </c>
    </row>
    <row r="6" spans="2:5" ht="19.5" customHeight="1" x14ac:dyDescent="0.25">
      <c r="B6" s="13" t="s">
        <v>9</v>
      </c>
      <c r="C6" s="10" t="s">
        <v>81</v>
      </c>
    </row>
    <row r="7" spans="2:5" ht="19.5" customHeight="1" x14ac:dyDescent="0.25">
      <c r="B7" s="13" t="s">
        <v>27</v>
      </c>
      <c r="C7" s="10" t="s">
        <v>82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15</v>
      </c>
    </row>
    <row r="13" spans="2:5" ht="19.5" customHeight="1" x14ac:dyDescent="0.25">
      <c r="B13" s="13" t="s">
        <v>15</v>
      </c>
      <c r="C13" s="10" t="s">
        <v>78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77</v>
      </c>
    </row>
    <row r="17" spans="2:3" ht="19.5" customHeight="1" x14ac:dyDescent="0.25">
      <c r="B17" s="13" t="s">
        <v>138</v>
      </c>
      <c r="C17" s="10" t="s">
        <v>227</v>
      </c>
    </row>
    <row r="18" spans="2:3" ht="19.5" customHeight="1" x14ac:dyDescent="0.25">
      <c r="B18" s="13" t="s">
        <v>140</v>
      </c>
      <c r="C18" s="10" t="s">
        <v>228</v>
      </c>
    </row>
    <row r="19" spans="2:3" ht="19.5" customHeight="1" x14ac:dyDescent="0.25">
      <c r="B19" s="13" t="s">
        <v>142</v>
      </c>
      <c r="C19" s="10" t="s">
        <v>229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77</v>
      </c>
    </row>
    <row r="23" spans="2:3" ht="19.5" customHeight="1" x14ac:dyDescent="0.25">
      <c r="B23" s="13" t="s">
        <v>147</v>
      </c>
      <c r="C23" s="10" t="s">
        <v>230</v>
      </c>
    </row>
    <row r="24" spans="2:3" ht="19.5" customHeight="1" x14ac:dyDescent="0.25">
      <c r="B24" s="13" t="s">
        <v>149</v>
      </c>
      <c r="C24" s="10" t="s">
        <v>231</v>
      </c>
    </row>
    <row r="25" spans="2:3" ht="19.5" customHeight="1" x14ac:dyDescent="0.25">
      <c r="B25" s="13" t="s">
        <v>151</v>
      </c>
      <c r="C25" s="10" t="s">
        <v>194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80</v>
      </c>
    </row>
    <row r="29" spans="2:3" ht="19.5" customHeight="1" x14ac:dyDescent="0.25">
      <c r="B29" s="13" t="s">
        <v>155</v>
      </c>
      <c r="C29" s="10" t="s">
        <v>232</v>
      </c>
    </row>
    <row r="30" spans="2:3" ht="19.5" customHeight="1" x14ac:dyDescent="0.25">
      <c r="B30" s="13" t="s">
        <v>24</v>
      </c>
      <c r="C30" s="10" t="s">
        <v>79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128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23">
        <v>0.99</v>
      </c>
    </row>
    <row r="42" spans="2:3" ht="19.5" customHeight="1" x14ac:dyDescent="0.25">
      <c r="B42" s="13" t="s">
        <v>29</v>
      </c>
      <c r="C42" s="10" t="s">
        <v>43</v>
      </c>
    </row>
    <row r="43" spans="2:3" ht="19.5" customHeight="1" x14ac:dyDescent="0.25">
      <c r="B43" s="13" t="s">
        <v>30</v>
      </c>
      <c r="C43" s="10" t="s">
        <v>74</v>
      </c>
    </row>
    <row r="44" spans="2:3" ht="19.5" customHeight="1" x14ac:dyDescent="0.25">
      <c r="B44" s="13" t="s">
        <v>171</v>
      </c>
      <c r="C44" s="10" t="s">
        <v>172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233</v>
      </c>
    </row>
    <row r="48" spans="2:3" ht="19.5" customHeight="1" x14ac:dyDescent="0.25">
      <c r="B48" s="13" t="s">
        <v>176</v>
      </c>
      <c r="C48" s="10" t="s">
        <v>234</v>
      </c>
    </row>
    <row r="49" spans="2:3" ht="19.5" customHeight="1" x14ac:dyDescent="0.25">
      <c r="B49" s="13" t="s">
        <v>178</v>
      </c>
      <c r="C49" s="10" t="s">
        <v>235</v>
      </c>
    </row>
    <row r="50" spans="2:3" ht="19.5" customHeight="1" x14ac:dyDescent="0.25">
      <c r="B50" s="13" t="s">
        <v>179</v>
      </c>
      <c r="C50" s="10" t="s">
        <v>235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182</v>
      </c>
    </row>
    <row r="54" spans="2:3" ht="19.5" customHeight="1" x14ac:dyDescent="0.25">
      <c r="B54" s="13" t="s">
        <v>183</v>
      </c>
      <c r="C54" s="15" t="s">
        <v>182</v>
      </c>
    </row>
    <row r="55" spans="2:3" ht="19.5" customHeight="1" x14ac:dyDescent="0.25">
      <c r="B55" s="13" t="s">
        <v>184</v>
      </c>
      <c r="C55" s="15" t="s">
        <v>182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65" priority="2">
      <formula>$C$10="Pipeline"</formula>
    </cfRule>
    <cfRule type="expression" dxfId="64" priority="3">
      <formula>$C$10="Catalogue"</formula>
    </cfRule>
    <cfRule type="expression" dxfId="63" priority="4">
      <formula>$C$10="Retraité"</formula>
    </cfRule>
  </conditionalFormatting>
  <conditionalFormatting sqref="C34">
    <cfRule type="expression" dxfId="62" priority="10">
      <formula>$C$34="Oui"</formula>
    </cfRule>
    <cfRule type="expression" dxfId="61" priority="11">
      <formula>$C$34="Non"</formula>
    </cfRule>
  </conditionalFormatting>
  <conditionalFormatting sqref="E8">
    <cfRule type="expression" dxfId="60" priority="5">
      <formula>$E$8="Critique"</formula>
    </cfRule>
    <cfRule type="expression" dxfId="59" priority="6">
      <formula>$E$8="Haute"</formula>
    </cfRule>
    <cfRule type="expression" dxfId="58" priority="7">
      <formula>$E$8="Élevée"</formula>
    </cfRule>
    <cfRule type="expression" dxfId="57" priority="8">
      <formula>$E$8="Moyenne"</formula>
    </cfRule>
    <cfRule type="expression" dxfId="5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7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700-000001000000}">
      <formula1>"Pipeline,Catalogue,Retraité"</formula1>
      <formula2>0</formula2>
    </dataValidation>
    <dataValidation type="list" allowBlank="1" sqref="E8" xr:uid="{00000000-0002-0000-07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7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64"/>
  <sheetViews>
    <sheetView showGridLines="0" topLeftCell="A40" zoomScaleNormal="100" workbookViewId="0">
      <selection activeCell="C53" sqref="C53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236</v>
      </c>
      <c r="C1" s="24"/>
    </row>
    <row r="2" spans="2:5" ht="24" customHeight="1" x14ac:dyDescent="0.25">
      <c r="B2" s="22" t="str">
        <f>_xlfn.CONCAT(B10,": ",C10)</f>
        <v>Statut Portfolio: Catalogue</v>
      </c>
      <c r="C2" s="12" t="s">
        <v>132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83</v>
      </c>
    </row>
    <row r="6" spans="2:5" ht="19.5" customHeight="1" x14ac:dyDescent="0.25">
      <c r="B6" s="13" t="s">
        <v>9</v>
      </c>
      <c r="C6" s="10" t="s">
        <v>55</v>
      </c>
    </row>
    <row r="7" spans="2:5" ht="19.5" customHeight="1" x14ac:dyDescent="0.25">
      <c r="B7" s="13" t="s">
        <v>27</v>
      </c>
      <c r="C7" s="10" t="s">
        <v>55</v>
      </c>
    </row>
    <row r="8" spans="2:5" ht="19.5" customHeight="1" x14ac:dyDescent="0.25">
      <c r="B8" s="13" t="s">
        <v>8</v>
      </c>
      <c r="C8" s="10" t="s">
        <v>117</v>
      </c>
      <c r="E8" s="14" t="s">
        <v>120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15</v>
      </c>
    </row>
    <row r="13" spans="2:5" ht="19.5" customHeight="1" x14ac:dyDescent="0.25">
      <c r="B13" s="13" t="s">
        <v>15</v>
      </c>
      <c r="C13" s="10" t="s">
        <v>68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85</v>
      </c>
    </row>
    <row r="17" spans="2:3" ht="19.5" customHeight="1" x14ac:dyDescent="0.25">
      <c r="B17" s="13" t="s">
        <v>138</v>
      </c>
      <c r="C17" s="10" t="s">
        <v>55</v>
      </c>
    </row>
    <row r="18" spans="2:3" ht="19.5" customHeight="1" x14ac:dyDescent="0.25">
      <c r="B18" s="13" t="s">
        <v>140</v>
      </c>
      <c r="C18" s="10" t="s">
        <v>55</v>
      </c>
    </row>
    <row r="19" spans="2:3" ht="19.5" customHeight="1" x14ac:dyDescent="0.25">
      <c r="B19" s="13" t="s">
        <v>142</v>
      </c>
      <c r="C19" s="10" t="s">
        <v>55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85</v>
      </c>
    </row>
    <row r="23" spans="2:3" ht="19.5" customHeight="1" x14ac:dyDescent="0.25">
      <c r="B23" s="13" t="s">
        <v>147</v>
      </c>
      <c r="C23" s="10" t="s">
        <v>55</v>
      </c>
    </row>
    <row r="24" spans="2:3" ht="19.5" customHeight="1" x14ac:dyDescent="0.25">
      <c r="B24" s="13" t="s">
        <v>149</v>
      </c>
      <c r="C24" s="10" t="s">
        <v>55</v>
      </c>
    </row>
    <row r="25" spans="2:3" ht="19.5" customHeight="1" x14ac:dyDescent="0.25">
      <c r="B25" s="13" t="s">
        <v>151</v>
      </c>
      <c r="C25" s="10" t="s">
        <v>55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87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86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55" priority="2">
      <formula>$C$10="Pipeline"</formula>
    </cfRule>
    <cfRule type="expression" dxfId="54" priority="3">
      <formula>$C$10="Catalogue"</formula>
    </cfRule>
    <cfRule type="expression" dxfId="53" priority="4">
      <formula>$C$10="Retraité"</formula>
    </cfRule>
  </conditionalFormatting>
  <conditionalFormatting sqref="C34">
    <cfRule type="expression" dxfId="52" priority="10">
      <formula>$C$34="Oui"</formula>
    </cfRule>
    <cfRule type="expression" dxfId="51" priority="11">
      <formula>$C$34="Non"</formula>
    </cfRule>
  </conditionalFormatting>
  <conditionalFormatting sqref="E8">
    <cfRule type="expression" dxfId="50" priority="5">
      <formula>$E$8="Critique"</formula>
    </cfRule>
    <cfRule type="expression" dxfId="49" priority="6">
      <formula>$E$8="Haute"</formula>
    </cfRule>
    <cfRule type="expression" dxfId="48" priority="7">
      <formula>$E$8="Élevée"</formula>
    </cfRule>
    <cfRule type="expression" dxfId="47" priority="8">
      <formula>$E$8="Moyenne"</formula>
    </cfRule>
    <cfRule type="expression" dxfId="4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8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800-000001000000}">
      <formula1>"Pipeline,Catalogue,Retraité"</formula1>
      <formula2>0</formula2>
    </dataValidation>
    <dataValidation type="list" allowBlank="1" sqref="E8" xr:uid="{00000000-0002-0000-08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8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64"/>
  <sheetViews>
    <sheetView showGridLines="0" topLeftCell="A40" zoomScaleNormal="100" workbookViewId="0">
      <selection activeCell="C53" sqref="C53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237</v>
      </c>
      <c r="C1" s="24"/>
    </row>
    <row r="2" spans="2:5" ht="24" customHeight="1" x14ac:dyDescent="0.25">
      <c r="B2" s="22" t="str">
        <f>_xlfn.CONCAT(B10,": ",C10)</f>
        <v>Statut Portfolio: Pipeline</v>
      </c>
      <c r="C2" s="18" t="s">
        <v>238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88</v>
      </c>
    </row>
    <row r="6" spans="2:5" ht="19.5" customHeight="1" x14ac:dyDescent="0.25">
      <c r="B6" s="13" t="s">
        <v>9</v>
      </c>
      <c r="C6" s="10" t="s">
        <v>55</v>
      </c>
    </row>
    <row r="7" spans="2:5" ht="19.5" customHeight="1" x14ac:dyDescent="0.25">
      <c r="B7" s="13" t="s">
        <v>27</v>
      </c>
      <c r="C7" s="10" t="s">
        <v>55</v>
      </c>
    </row>
    <row r="8" spans="2:5" ht="19.5" customHeight="1" x14ac:dyDescent="0.25">
      <c r="B8" s="13" t="s">
        <v>8</v>
      </c>
      <c r="C8" s="10" t="s">
        <v>117</v>
      </c>
      <c r="E8" s="14" t="s">
        <v>239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119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15</v>
      </c>
    </row>
    <row r="13" spans="2:5" ht="19.5" customHeight="1" x14ac:dyDescent="0.25">
      <c r="B13" s="13" t="s">
        <v>15</v>
      </c>
      <c r="C13" s="10" t="s">
        <v>91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90</v>
      </c>
    </row>
    <row r="17" spans="2:3" ht="19.5" customHeight="1" x14ac:dyDescent="0.25">
      <c r="B17" s="13" t="s">
        <v>138</v>
      </c>
      <c r="C17" s="10" t="s">
        <v>55</v>
      </c>
    </row>
    <row r="18" spans="2:3" ht="19.5" customHeight="1" x14ac:dyDescent="0.25">
      <c r="B18" s="13" t="s">
        <v>140</v>
      </c>
      <c r="C18" s="10" t="s">
        <v>55</v>
      </c>
    </row>
    <row r="19" spans="2:3" ht="19.5" customHeight="1" x14ac:dyDescent="0.25">
      <c r="B19" s="13" t="s">
        <v>142</v>
      </c>
      <c r="C19" s="10" t="s">
        <v>55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240</v>
      </c>
    </row>
    <row r="23" spans="2:3" ht="19.5" customHeight="1" x14ac:dyDescent="0.25">
      <c r="B23" s="13" t="s">
        <v>147</v>
      </c>
      <c r="C23" s="10" t="s">
        <v>55</v>
      </c>
    </row>
    <row r="24" spans="2:3" ht="19.5" customHeight="1" x14ac:dyDescent="0.25">
      <c r="B24" s="13" t="s">
        <v>149</v>
      </c>
      <c r="C24" s="10" t="s">
        <v>241</v>
      </c>
    </row>
    <row r="25" spans="2:3" ht="19.5" customHeight="1" x14ac:dyDescent="0.25">
      <c r="B25" s="13" t="s">
        <v>151</v>
      </c>
      <c r="C25" s="10" t="s">
        <v>55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93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92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55</v>
      </c>
    </row>
    <row r="38" spans="2:3" ht="19.5" customHeight="1" x14ac:dyDescent="0.25">
      <c r="B38" s="13" t="s">
        <v>168</v>
      </c>
      <c r="C38" s="10" t="s">
        <v>55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45" priority="2">
      <formula>$C$10="Pipeline"</formula>
    </cfRule>
    <cfRule type="expression" dxfId="44" priority="3">
      <formula>$C$10="Catalogue"</formula>
    </cfRule>
    <cfRule type="expression" dxfId="43" priority="4">
      <formula>$C$10="Retraité"</formula>
    </cfRule>
  </conditionalFormatting>
  <conditionalFormatting sqref="C34">
    <cfRule type="expression" dxfId="42" priority="10">
      <formula>$C$34="Oui"</formula>
    </cfRule>
    <cfRule type="expression" dxfId="41" priority="11">
      <formula>$C$34="Non"</formula>
    </cfRule>
  </conditionalFormatting>
  <conditionalFormatting sqref="E8">
    <cfRule type="expression" dxfId="40" priority="5">
      <formula>$E$8="Critique"</formula>
    </cfRule>
    <cfRule type="expression" dxfId="39" priority="6">
      <formula>$E$8="Haute"</formula>
    </cfRule>
    <cfRule type="expression" dxfId="38" priority="7">
      <formula>$E$8="Élevée"</formula>
    </cfRule>
    <cfRule type="expression" dxfId="37" priority="8">
      <formula>$E$8="Moyenne"</formula>
    </cfRule>
    <cfRule type="expression" dxfId="3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9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900-000001000000}">
      <formula1>"Pipeline,Catalogue,Retraité"</formula1>
      <formula2>0</formula2>
    </dataValidation>
    <dataValidation type="list" allowBlank="1" sqref="E8" xr:uid="{00000000-0002-0000-09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9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64"/>
  <sheetViews>
    <sheetView showGridLines="0" topLeftCell="A40" zoomScaleNormal="100" workbookViewId="0">
      <selection activeCell="C53" sqref="C53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242</v>
      </c>
      <c r="C1" s="24"/>
    </row>
    <row r="2" spans="2:5" ht="24" customHeight="1" x14ac:dyDescent="0.25">
      <c r="B2" s="22" t="str">
        <f>_xlfn.CONCAT(B10,": ",C10)</f>
        <v>Statut Portfolio: Catalogue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94</v>
      </c>
    </row>
    <row r="6" spans="2:5" ht="19.5" customHeight="1" x14ac:dyDescent="0.25">
      <c r="B6" s="13" t="s">
        <v>9</v>
      </c>
      <c r="C6" s="10" t="s">
        <v>102</v>
      </c>
    </row>
    <row r="7" spans="2:5" ht="19.5" customHeight="1" x14ac:dyDescent="0.25">
      <c r="B7" s="13" t="s">
        <v>27</v>
      </c>
      <c r="C7" s="10" t="s">
        <v>58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98</v>
      </c>
    </row>
    <row r="10" spans="2:5" ht="19.5" customHeight="1" x14ac:dyDescent="0.25">
      <c r="B10" s="13" t="s">
        <v>11</v>
      </c>
      <c r="C10" s="10" t="s">
        <v>279</v>
      </c>
    </row>
    <row r="11" spans="2:5" ht="19.5" customHeight="1" x14ac:dyDescent="0.25">
      <c r="B11" s="13" t="s">
        <v>13</v>
      </c>
      <c r="C11" s="10" t="s">
        <v>70</v>
      </c>
    </row>
    <row r="12" spans="2:5" ht="19.5" customHeight="1" x14ac:dyDescent="0.25">
      <c r="B12" s="13" t="s">
        <v>21</v>
      </c>
      <c r="C12" s="10" t="s">
        <v>15</v>
      </c>
    </row>
    <row r="13" spans="2:5" ht="19.5" customHeight="1" x14ac:dyDescent="0.25">
      <c r="B13" s="13" t="s">
        <v>15</v>
      </c>
      <c r="C13" s="10" t="s">
        <v>97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96</v>
      </c>
    </row>
    <row r="17" spans="2:3" ht="19.5" customHeight="1" x14ac:dyDescent="0.25">
      <c r="B17" s="13" t="s">
        <v>138</v>
      </c>
      <c r="C17" s="10" t="s">
        <v>55</v>
      </c>
    </row>
    <row r="18" spans="2:3" ht="19.5" customHeight="1" x14ac:dyDescent="0.25">
      <c r="B18" s="13" t="s">
        <v>140</v>
      </c>
      <c r="C18" s="10" t="s">
        <v>55</v>
      </c>
    </row>
    <row r="19" spans="2:3" ht="19.5" customHeight="1" x14ac:dyDescent="0.25">
      <c r="B19" s="13" t="s">
        <v>142</v>
      </c>
      <c r="C19" s="10" t="s">
        <v>55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243</v>
      </c>
    </row>
    <row r="23" spans="2:3" ht="19.5" customHeight="1" x14ac:dyDescent="0.25">
      <c r="B23" s="13" t="s">
        <v>147</v>
      </c>
      <c r="C23" s="10" t="s">
        <v>55</v>
      </c>
    </row>
    <row r="24" spans="2:3" ht="19.5" customHeight="1" x14ac:dyDescent="0.25">
      <c r="B24" s="13" t="s">
        <v>149</v>
      </c>
      <c r="C24" s="10" t="s">
        <v>55</v>
      </c>
    </row>
    <row r="25" spans="2:3" ht="19.5" customHeight="1" x14ac:dyDescent="0.25">
      <c r="B25" s="13" t="s">
        <v>151</v>
      </c>
      <c r="C25" s="10" t="s">
        <v>55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101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100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35" priority="2">
      <formula>$C$10="Pipeline"</formula>
    </cfRule>
    <cfRule type="expression" dxfId="34" priority="3">
      <formula>$C$10="Catalogue"</formula>
    </cfRule>
    <cfRule type="expression" dxfId="33" priority="4">
      <formula>$C$10="Retraité"</formula>
    </cfRule>
  </conditionalFormatting>
  <conditionalFormatting sqref="C34">
    <cfRule type="expression" dxfId="32" priority="10">
      <formula>$C$34="Oui"</formula>
    </cfRule>
    <cfRule type="expression" dxfId="31" priority="11">
      <formula>$C$34="Non"</formula>
    </cfRule>
  </conditionalFormatting>
  <conditionalFormatting sqref="E8">
    <cfRule type="expression" dxfId="30" priority="5">
      <formula>$E$8="Critique"</formula>
    </cfRule>
    <cfRule type="expression" dxfId="29" priority="6">
      <formula>$E$8="Haute"</formula>
    </cfRule>
    <cfRule type="expression" dxfId="28" priority="7">
      <formula>$E$8="Élevée"</formula>
    </cfRule>
    <cfRule type="expression" dxfId="27" priority="8">
      <formula>$E$8="Moyenne"</formula>
    </cfRule>
    <cfRule type="expression" dxfId="2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A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A00-000001000000}">
      <formula1>"Pipeline,Catalogue,Retraité"</formula1>
      <formula2>0</formula2>
    </dataValidation>
    <dataValidation type="list" allowBlank="1" sqref="E8" xr:uid="{00000000-0002-0000-0A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A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64"/>
  <sheetViews>
    <sheetView showGridLines="0" topLeftCell="A41" zoomScaleNormal="100" workbookViewId="0">
      <selection activeCell="C54" sqref="C54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244</v>
      </c>
      <c r="C1" s="24"/>
    </row>
    <row r="2" spans="2:5" ht="24" customHeight="1" x14ac:dyDescent="0.25">
      <c r="B2" s="22" t="str">
        <f>_xlfn.CONCAT(B10,": ",C10)</f>
        <v>Statut Portfolio: Pipeline</v>
      </c>
      <c r="C2" s="17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103</v>
      </c>
    </row>
    <row r="6" spans="2:5" ht="19.5" customHeight="1" x14ac:dyDescent="0.25">
      <c r="B6" s="13" t="s">
        <v>9</v>
      </c>
      <c r="C6" s="10" t="s">
        <v>40</v>
      </c>
    </row>
    <row r="7" spans="2:5" ht="19.5" customHeight="1" x14ac:dyDescent="0.25">
      <c r="B7" s="13" t="s">
        <v>27</v>
      </c>
      <c r="C7" s="10" t="s">
        <v>109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106</v>
      </c>
    </row>
    <row r="10" spans="2:5" ht="19.5" customHeight="1" x14ac:dyDescent="0.25">
      <c r="B10" s="13" t="s">
        <v>11</v>
      </c>
      <c r="C10" s="10" t="s">
        <v>119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105</v>
      </c>
    </row>
    <row r="17" spans="2:3" ht="19.5" customHeight="1" x14ac:dyDescent="0.25">
      <c r="B17" s="13" t="s">
        <v>138</v>
      </c>
      <c r="C17" s="10" t="s">
        <v>245</v>
      </c>
    </row>
    <row r="18" spans="2:3" ht="19.5" customHeight="1" x14ac:dyDescent="0.25">
      <c r="B18" s="13" t="s">
        <v>140</v>
      </c>
      <c r="C18" s="10" t="s">
        <v>246</v>
      </c>
    </row>
    <row r="19" spans="2:3" ht="19.5" customHeight="1" x14ac:dyDescent="0.25">
      <c r="B19" s="13" t="s">
        <v>142</v>
      </c>
      <c r="C19" s="10" t="s">
        <v>247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248</v>
      </c>
    </row>
    <row r="23" spans="2:3" ht="19.5" customHeight="1" x14ac:dyDescent="0.25">
      <c r="B23" s="13" t="s">
        <v>147</v>
      </c>
      <c r="C23" s="10" t="s">
        <v>109</v>
      </c>
    </row>
    <row r="24" spans="2:3" ht="19.5" customHeight="1" x14ac:dyDescent="0.25">
      <c r="B24" s="13" t="s">
        <v>149</v>
      </c>
      <c r="C24" s="10" t="s">
        <v>249</v>
      </c>
    </row>
    <row r="25" spans="2:3" ht="19.5" customHeight="1" x14ac:dyDescent="0.25">
      <c r="B25" s="13" t="s">
        <v>151</v>
      </c>
      <c r="C25" s="10" t="s">
        <v>152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108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107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9" t="s">
        <v>167</v>
      </c>
    </row>
    <row r="35" spans="2:3" ht="19.5" customHeight="1" x14ac:dyDescent="0.25">
      <c r="B35" s="13" t="s">
        <v>162</v>
      </c>
      <c r="C35" s="10" t="s">
        <v>214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23">
        <v>0.99</v>
      </c>
    </row>
    <row r="42" spans="2:3" ht="19.5" customHeight="1" x14ac:dyDescent="0.25">
      <c r="B42" s="13" t="s">
        <v>29</v>
      </c>
      <c r="C42" s="10" t="s">
        <v>110</v>
      </c>
    </row>
    <row r="43" spans="2:3" ht="19.5" customHeight="1" x14ac:dyDescent="0.25">
      <c r="B43" s="13" t="s">
        <v>30</v>
      </c>
      <c r="C43" s="10" t="s">
        <v>110</v>
      </c>
    </row>
    <row r="44" spans="2:3" ht="19.5" customHeight="1" x14ac:dyDescent="0.25">
      <c r="B44" s="13" t="s">
        <v>171</v>
      </c>
      <c r="C44" s="10" t="s">
        <v>250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251</v>
      </c>
    </row>
    <row r="48" spans="2:3" ht="19.5" customHeight="1" x14ac:dyDescent="0.25">
      <c r="B48" s="13" t="s">
        <v>176</v>
      </c>
      <c r="C48" s="10" t="s">
        <v>252</v>
      </c>
    </row>
    <row r="49" spans="2:3" ht="19.5" customHeight="1" x14ac:dyDescent="0.25">
      <c r="B49" s="13" t="s">
        <v>178</v>
      </c>
      <c r="C49" s="10" t="s">
        <v>253</v>
      </c>
    </row>
    <row r="50" spans="2:3" ht="19.5" customHeight="1" x14ac:dyDescent="0.25">
      <c r="B50" s="13" t="s">
        <v>179</v>
      </c>
      <c r="C50" s="10" t="s">
        <v>253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182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25" priority="2">
      <formula>$C$10="Pipeline"</formula>
    </cfRule>
    <cfRule type="expression" dxfId="24" priority="3">
      <formula>$C$10="Catalogue"</formula>
    </cfRule>
    <cfRule type="expression" dxfId="23" priority="4">
      <formula>$C$10="Retraité"</formula>
    </cfRule>
  </conditionalFormatting>
  <conditionalFormatting sqref="C34">
    <cfRule type="expression" dxfId="22" priority="10">
      <formula>$C$34="Oui"</formula>
    </cfRule>
    <cfRule type="expression" dxfId="21" priority="11">
      <formula>$C$34="Non"</formula>
    </cfRule>
  </conditionalFormatting>
  <conditionalFormatting sqref="E8">
    <cfRule type="expression" dxfId="20" priority="5">
      <formula>$E$8="Critique"</formula>
    </cfRule>
    <cfRule type="expression" dxfId="19" priority="6">
      <formula>$E$8="Haute"</formula>
    </cfRule>
    <cfRule type="expression" dxfId="18" priority="7">
      <formula>$E$8="Élevée"</formula>
    </cfRule>
    <cfRule type="expression" dxfId="17" priority="8">
      <formula>$E$8="Moyenne"</formula>
    </cfRule>
    <cfRule type="expression" dxfId="1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B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B00-000001000000}">
      <formula1>"Pipeline,Catalogue,Retraité"</formula1>
      <formula2>0</formula2>
    </dataValidation>
    <dataValidation type="list" allowBlank="1" sqref="E8" xr:uid="{00000000-0002-0000-0B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B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64"/>
  <sheetViews>
    <sheetView showGridLines="0" topLeftCell="A40" zoomScaleNormal="100" workbookViewId="0">
      <selection activeCell="C53" sqref="C53:C57"/>
    </sheetView>
  </sheetViews>
  <sheetFormatPr baseColWidth="10" defaultColWidth="8.7109375" defaultRowHeight="15" x14ac:dyDescent="0.25"/>
  <cols>
    <col min="1" max="1" width="2" customWidth="1"/>
    <col min="2" max="2" width="28" customWidth="1"/>
    <col min="3" max="3" width="52" customWidth="1"/>
    <col min="4" max="5" width="2" customWidth="1"/>
  </cols>
  <sheetData>
    <row r="1" spans="2:5" ht="37.5" customHeight="1" x14ac:dyDescent="0.25">
      <c r="B1" s="47" t="s">
        <v>254</v>
      </c>
      <c r="C1" s="24"/>
    </row>
    <row r="2" spans="2:5" ht="24" customHeight="1" x14ac:dyDescent="0.25">
      <c r="B2" s="22" t="str">
        <f>_xlfn.CONCAT(B10,": ",C10)</f>
        <v>Statut Portfolio: Pipeline</v>
      </c>
      <c r="C2" s="20" t="s">
        <v>255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111</v>
      </c>
    </row>
    <row r="6" spans="2:5" ht="19.5" customHeight="1" x14ac:dyDescent="0.25">
      <c r="B6" s="13" t="s">
        <v>9</v>
      </c>
      <c r="C6" s="10" t="s">
        <v>55</v>
      </c>
    </row>
    <row r="7" spans="2:5" ht="19.5" customHeight="1" x14ac:dyDescent="0.25">
      <c r="B7" s="13" t="s">
        <v>27</v>
      </c>
      <c r="C7" s="10" t="s">
        <v>55</v>
      </c>
    </row>
    <row r="8" spans="2:5" ht="19.5" customHeight="1" x14ac:dyDescent="0.25">
      <c r="B8" s="13" t="s">
        <v>8</v>
      </c>
      <c r="C8" s="10" t="s">
        <v>117</v>
      </c>
      <c r="E8" s="14" t="s">
        <v>55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119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113</v>
      </c>
    </row>
    <row r="17" spans="2:3" ht="19.5" customHeight="1" x14ac:dyDescent="0.25">
      <c r="B17" s="13" t="s">
        <v>138</v>
      </c>
      <c r="C17" s="10" t="s">
        <v>55</v>
      </c>
    </row>
    <row r="18" spans="2:3" ht="19.5" customHeight="1" x14ac:dyDescent="0.25">
      <c r="B18" s="13" t="s">
        <v>140</v>
      </c>
      <c r="C18" s="10" t="s">
        <v>55</v>
      </c>
    </row>
    <row r="19" spans="2:3" ht="19.5" customHeight="1" x14ac:dyDescent="0.25">
      <c r="B19" s="13" t="s">
        <v>142</v>
      </c>
      <c r="C19" s="10" t="s">
        <v>55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256</v>
      </c>
    </row>
    <row r="23" spans="2:3" ht="19.5" customHeight="1" x14ac:dyDescent="0.25">
      <c r="B23" s="13" t="s">
        <v>147</v>
      </c>
      <c r="C23" s="10" t="s">
        <v>55</v>
      </c>
    </row>
    <row r="24" spans="2:3" ht="19.5" customHeight="1" x14ac:dyDescent="0.25">
      <c r="B24" s="13" t="s">
        <v>149</v>
      </c>
      <c r="C24" s="10" t="s">
        <v>55</v>
      </c>
    </row>
    <row r="25" spans="2:3" ht="19.5" customHeight="1" x14ac:dyDescent="0.25">
      <c r="B25" s="13" t="s">
        <v>151</v>
      </c>
      <c r="C25" s="10" t="s">
        <v>55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114</v>
      </c>
    </row>
    <row r="29" spans="2:3" ht="19.5" customHeight="1" x14ac:dyDescent="0.25">
      <c r="B29" s="13" t="s">
        <v>155</v>
      </c>
      <c r="C29" s="10" t="s">
        <v>55</v>
      </c>
    </row>
    <row r="30" spans="2:3" ht="19.5" customHeight="1" x14ac:dyDescent="0.25">
      <c r="B30" s="13" t="s">
        <v>24</v>
      </c>
      <c r="C30" s="10" t="s">
        <v>55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55</v>
      </c>
    </row>
    <row r="35" spans="2:3" ht="19.5" customHeight="1" x14ac:dyDescent="0.25">
      <c r="B35" s="13" t="s">
        <v>162</v>
      </c>
      <c r="C35" s="10" t="s">
        <v>55</v>
      </c>
    </row>
    <row r="36" spans="2:3" ht="19.5" customHeight="1" x14ac:dyDescent="0.25">
      <c r="B36" s="13" t="s">
        <v>164</v>
      </c>
      <c r="C36" s="10" t="s">
        <v>55</v>
      </c>
    </row>
    <row r="37" spans="2:3" ht="19.5" customHeight="1" x14ac:dyDescent="0.25">
      <c r="B37" s="13" t="s">
        <v>166</v>
      </c>
      <c r="C37" s="10" t="s">
        <v>55</v>
      </c>
    </row>
    <row r="38" spans="2:3" ht="19.5" customHeight="1" x14ac:dyDescent="0.25">
      <c r="B38" s="13" t="s">
        <v>168</v>
      </c>
      <c r="C38" s="10" t="s">
        <v>55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6" t="s">
        <v>187</v>
      </c>
    </row>
    <row r="54" spans="2:3" ht="19.5" customHeight="1" x14ac:dyDescent="0.25">
      <c r="B54" s="13" t="s">
        <v>183</v>
      </c>
      <c r="C54" s="16" t="s">
        <v>187</v>
      </c>
    </row>
    <row r="55" spans="2:3" ht="19.5" customHeight="1" x14ac:dyDescent="0.25">
      <c r="B55" s="13" t="s">
        <v>184</v>
      </c>
      <c r="C55" s="16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15" priority="2">
      <formula>$C$10="Pipeline"</formula>
    </cfRule>
    <cfRule type="expression" dxfId="14" priority="3">
      <formula>$C$10="Catalogue"</formula>
    </cfRule>
    <cfRule type="expression" dxfId="13" priority="4">
      <formula>$C$10="Retraité"</formula>
    </cfRule>
  </conditionalFormatting>
  <conditionalFormatting sqref="C34">
    <cfRule type="expression" dxfId="12" priority="10">
      <formula>$C$34="Oui"</formula>
    </cfRule>
    <cfRule type="expression" dxfId="11" priority="11">
      <formula>$C$34="Non"</formula>
    </cfRule>
  </conditionalFormatting>
  <conditionalFormatting sqref="E8">
    <cfRule type="expression" dxfId="10" priority="5">
      <formula>$E$8="Critique"</formula>
    </cfRule>
    <cfRule type="expression" dxfId="9" priority="6">
      <formula>$E$8="Haute"</formula>
    </cfRule>
    <cfRule type="expression" dxfId="8" priority="7">
      <formula>$E$8="Élevée"</formula>
    </cfRule>
    <cfRule type="expression" dxfId="7" priority="8">
      <formula>$E$8="Moyenne"</formula>
    </cfRule>
    <cfRule type="expression" dxfId="6" priority="9">
      <formula>$E$8="Faible"</formula>
    </cfRule>
  </conditionalFormatting>
  <dataValidations count="4">
    <dataValidation type="list" allowBlank="1" showErrorMessage="1" errorTitle="Valeur invalide" error="Choisir : Métier, Support ou Technique" sqref="C8" xr:uid="{00000000-0002-0000-0C00-000000000000}">
      <formula1>"Métier,Support,Technique"</formula1>
      <formula2>0</formula2>
    </dataValidation>
    <dataValidation type="list" allowBlank="1" showErrorMessage="1" errorTitle="Valeur invalide" error="Choisir : Pipeline, Catalogue ou Retraité" sqref="C10" xr:uid="{00000000-0002-0000-0C00-000001000000}">
      <formula1>"Pipeline,Catalogue,Retraité"</formula1>
      <formula2>0</formula2>
    </dataValidation>
    <dataValidation type="list" allowBlank="1" sqref="E8" xr:uid="{00000000-0002-0000-0C00-000002000000}">
      <formula1>"Critique,Haute,Élevée,Moyenne,Faible,-"</formula1>
      <formula2>0</formula2>
    </dataValidation>
    <dataValidation type="list" allowBlank="1" showErrorMessage="1" errorTitle="Valeur invalide" error="Choisir : Oui, Non ou -" sqref="C34" xr:uid="{00000000-0002-0000-0C00-000003000000}">
      <formula1>"Oui,Non,-"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64"/>
  <sheetViews>
    <sheetView topLeftCell="A35" workbookViewId="0">
      <selection activeCell="C56" sqref="C56:C57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3" width="52" customWidth="1"/>
    <col min="4" max="4" width="2" customWidth="1"/>
  </cols>
  <sheetData>
    <row r="1" spans="2:5" ht="37.5" customHeight="1" x14ac:dyDescent="0.25">
      <c r="B1" s="47" t="s">
        <v>257</v>
      </c>
      <c r="C1" s="24"/>
    </row>
    <row r="2" spans="2:5" ht="24" customHeight="1" x14ac:dyDescent="0.25">
      <c r="B2" s="22" t="str">
        <f>_xlfn.CONCAT(B10,": ",C10)</f>
        <v>Statut Portfolio: Pipeline</v>
      </c>
      <c r="C2" s="12" t="s">
        <v>132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115</v>
      </c>
    </row>
    <row r="6" spans="2:5" ht="19.5" customHeight="1" x14ac:dyDescent="0.25">
      <c r="B6" s="13" t="s">
        <v>9</v>
      </c>
      <c r="C6" s="10" t="s">
        <v>40</v>
      </c>
    </row>
    <row r="7" spans="2:5" ht="19.5" customHeight="1" x14ac:dyDescent="0.25">
      <c r="B7" s="13" t="s">
        <v>27</v>
      </c>
      <c r="C7" s="10" t="s">
        <v>122</v>
      </c>
    </row>
    <row r="8" spans="2:5" ht="19.5" customHeight="1" x14ac:dyDescent="0.25">
      <c r="B8" s="13" t="s">
        <v>8</v>
      </c>
      <c r="C8" s="10" t="s">
        <v>117</v>
      </c>
      <c r="E8" s="14" t="s">
        <v>120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119</v>
      </c>
    </row>
    <row r="11" spans="2:5" ht="19.5" customHeight="1" x14ac:dyDescent="0.25">
      <c r="B11" s="13" t="s">
        <v>13</v>
      </c>
      <c r="C11" s="10" t="s">
        <v>70</v>
      </c>
    </row>
    <row r="12" spans="2:5" ht="19.5" customHeight="1" x14ac:dyDescent="0.25">
      <c r="B12" s="13" t="s">
        <v>21</v>
      </c>
      <c r="C12" s="10" t="s">
        <v>34</v>
      </c>
    </row>
    <row r="13" spans="2:5" ht="19.5" customHeight="1" x14ac:dyDescent="0.25">
      <c r="B13" s="13" t="s">
        <v>15</v>
      </c>
      <c r="C13" s="10" t="s">
        <v>55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118</v>
      </c>
    </row>
    <row r="17" spans="2:3" ht="19.5" customHeight="1" x14ac:dyDescent="0.25">
      <c r="B17" s="13" t="s">
        <v>138</v>
      </c>
      <c r="C17" s="10" t="s">
        <v>258</v>
      </c>
    </row>
    <row r="18" spans="2:3" ht="19.5" customHeight="1" x14ac:dyDescent="0.25">
      <c r="B18" s="13" t="s">
        <v>140</v>
      </c>
      <c r="C18" s="10" t="s">
        <v>259</v>
      </c>
    </row>
    <row r="19" spans="2:3" ht="19.5" customHeight="1" x14ac:dyDescent="0.25">
      <c r="B19" s="13" t="s">
        <v>142</v>
      </c>
      <c r="C19" s="10" t="s">
        <v>260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261</v>
      </c>
    </row>
    <row r="23" spans="2:3" ht="19.5" customHeight="1" x14ac:dyDescent="0.25">
      <c r="B23" s="13" t="s">
        <v>147</v>
      </c>
      <c r="C23" s="10" t="s">
        <v>262</v>
      </c>
    </row>
    <row r="24" spans="2:3" ht="19.5" customHeight="1" x14ac:dyDescent="0.25">
      <c r="B24" s="13" t="s">
        <v>149</v>
      </c>
      <c r="C24" s="10" t="s">
        <v>263</v>
      </c>
    </row>
    <row r="25" spans="2:3" ht="19.5" customHeight="1" x14ac:dyDescent="0.25">
      <c r="B25" s="13" t="s">
        <v>151</v>
      </c>
      <c r="C25" s="10" t="s">
        <v>152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121</v>
      </c>
    </row>
    <row r="29" spans="2:3" ht="19.5" customHeight="1" x14ac:dyDescent="0.25">
      <c r="B29" s="13" t="s">
        <v>155</v>
      </c>
      <c r="C29" s="10" t="s">
        <v>264</v>
      </c>
    </row>
    <row r="30" spans="2:3" ht="19.5" customHeight="1" x14ac:dyDescent="0.25">
      <c r="B30" s="13" t="s">
        <v>24</v>
      </c>
      <c r="C30" s="10" t="s">
        <v>55</v>
      </c>
    </row>
    <row r="31" spans="2:3" ht="19.5" customHeight="1" x14ac:dyDescent="0.25">
      <c r="B31" s="13" t="s">
        <v>157</v>
      </c>
      <c r="C31" s="10" t="s">
        <v>264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161</v>
      </c>
    </row>
    <row r="35" spans="2:3" ht="19.5" customHeight="1" x14ac:dyDescent="0.25">
      <c r="B35" s="13" t="s">
        <v>162</v>
      </c>
      <c r="C35" s="10" t="s">
        <v>163</v>
      </c>
    </row>
    <row r="36" spans="2:3" ht="19.5" customHeight="1" x14ac:dyDescent="0.25">
      <c r="B36" s="13" t="s">
        <v>164</v>
      </c>
      <c r="C36" s="10" t="s">
        <v>120</v>
      </c>
    </row>
    <row r="37" spans="2:3" ht="19.5" customHeight="1" x14ac:dyDescent="0.25">
      <c r="B37" s="13" t="s">
        <v>166</v>
      </c>
      <c r="C37" s="10" t="s">
        <v>55</v>
      </c>
    </row>
    <row r="38" spans="2:3" ht="19.5" customHeight="1" x14ac:dyDescent="0.25">
      <c r="B38" s="13" t="s">
        <v>168</v>
      </c>
      <c r="C38" s="10" t="s">
        <v>55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55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182</v>
      </c>
    </row>
    <row r="54" spans="2:3" ht="19.5" customHeight="1" x14ac:dyDescent="0.25">
      <c r="B54" s="13" t="s">
        <v>183</v>
      </c>
      <c r="C54" s="15" t="s">
        <v>187</v>
      </c>
    </row>
    <row r="55" spans="2:3" ht="19.5" customHeight="1" x14ac:dyDescent="0.25">
      <c r="B55" s="13" t="s">
        <v>184</v>
      </c>
      <c r="C55" s="12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5" priority="1">
      <formula>$C$10="Pipeline"</formula>
    </cfRule>
    <cfRule type="expression" dxfId="4" priority="2">
      <formula>$C$10="Catalogue"</formula>
    </cfRule>
    <cfRule type="expression" dxfId="3" priority="3">
      <formula>$C$10="Retraité"</formula>
    </cfRule>
  </conditionalFormatting>
  <dataValidations count="1">
    <dataValidation type="list" allowBlank="1" showErrorMessage="1" errorTitle="Valeur invalide" error="Choisir : Pipeline, Catalogue ou Retraité" sqref="C10" xr:uid="{BFB38092-4244-48E4-AA1E-BD3056FA87FF}">
      <formula1>"Pipeline,Catalogue,Retraité"</formula1>
      <formula2>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64"/>
  <sheetViews>
    <sheetView topLeftCell="A40" workbookViewId="0">
      <selection activeCell="C56" sqref="C56:C57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3" width="52" customWidth="1"/>
    <col min="4" max="4" width="2" customWidth="1"/>
  </cols>
  <sheetData>
    <row r="1" spans="2:5" ht="37.5" customHeight="1" x14ac:dyDescent="0.25">
      <c r="B1" s="47" t="s">
        <v>265</v>
      </c>
      <c r="C1" s="24"/>
    </row>
    <row r="2" spans="2:5" ht="24" customHeight="1" x14ac:dyDescent="0.25">
      <c r="B2" s="22" t="str">
        <f>_xlfn.CONCAT(B10,": ",C10)</f>
        <v>Statut Portfolio: Pipeline</v>
      </c>
      <c r="C2" s="12" t="s">
        <v>190</v>
      </c>
    </row>
    <row r="3" spans="2:5" ht="7.5" customHeight="1" x14ac:dyDescent="0.25"/>
    <row r="4" spans="2:5" ht="21.75" customHeight="1" x14ac:dyDescent="0.25">
      <c r="B4" s="48" t="s">
        <v>133</v>
      </c>
      <c r="C4" s="24"/>
    </row>
    <row r="5" spans="2:5" ht="19.5" customHeight="1" x14ac:dyDescent="0.25">
      <c r="B5" s="13" t="s">
        <v>134</v>
      </c>
      <c r="C5" s="10" t="s">
        <v>123</v>
      </c>
    </row>
    <row r="6" spans="2:5" ht="19.5" customHeight="1" x14ac:dyDescent="0.25">
      <c r="B6" s="13" t="s">
        <v>9</v>
      </c>
      <c r="C6" s="10" t="s">
        <v>55</v>
      </c>
    </row>
    <row r="7" spans="2:5" ht="19.5" customHeight="1" x14ac:dyDescent="0.25">
      <c r="B7" s="13" t="s">
        <v>27</v>
      </c>
      <c r="C7" s="10" t="s">
        <v>41</v>
      </c>
    </row>
    <row r="8" spans="2:5" ht="19.5" customHeight="1" x14ac:dyDescent="0.25">
      <c r="B8" s="13" t="s">
        <v>8</v>
      </c>
      <c r="C8" s="10" t="s">
        <v>117</v>
      </c>
      <c r="E8" s="14" t="s">
        <v>128</v>
      </c>
    </row>
    <row r="9" spans="2:5" ht="19.5" customHeight="1" x14ac:dyDescent="0.25">
      <c r="B9" s="13" t="s">
        <v>135</v>
      </c>
      <c r="C9" s="10" t="s">
        <v>55</v>
      </c>
    </row>
    <row r="10" spans="2:5" ht="19.5" customHeight="1" x14ac:dyDescent="0.25">
      <c r="B10" s="13" t="s">
        <v>11</v>
      </c>
      <c r="C10" s="10" t="s">
        <v>119</v>
      </c>
    </row>
    <row r="11" spans="2:5" ht="19.5" customHeight="1" x14ac:dyDescent="0.25">
      <c r="B11" s="13" t="s">
        <v>13</v>
      </c>
      <c r="C11" s="10" t="s">
        <v>38</v>
      </c>
    </row>
    <row r="12" spans="2:5" ht="19.5" customHeight="1" x14ac:dyDescent="0.25">
      <c r="B12" s="13" t="s">
        <v>21</v>
      </c>
      <c r="C12" s="10" t="s">
        <v>126</v>
      </c>
    </row>
    <row r="13" spans="2:5" ht="19.5" customHeight="1" x14ac:dyDescent="0.25">
      <c r="B13" s="13" t="s">
        <v>15</v>
      </c>
      <c r="C13" s="10" t="s">
        <v>127</v>
      </c>
    </row>
    <row r="15" spans="2:5" ht="21.75" customHeight="1" x14ac:dyDescent="0.25">
      <c r="B15" s="48" t="s">
        <v>136</v>
      </c>
      <c r="C15" s="24"/>
    </row>
    <row r="16" spans="2:5" ht="19.5" customHeight="1" x14ac:dyDescent="0.25">
      <c r="B16" s="13" t="s">
        <v>137</v>
      </c>
      <c r="C16" s="10" t="s">
        <v>125</v>
      </c>
    </row>
    <row r="17" spans="2:3" ht="19.5" customHeight="1" x14ac:dyDescent="0.25">
      <c r="B17" s="13" t="s">
        <v>138</v>
      </c>
      <c r="C17" s="10" t="s">
        <v>266</v>
      </c>
    </row>
    <row r="18" spans="2:3" ht="19.5" customHeight="1" x14ac:dyDescent="0.25">
      <c r="B18" s="13" t="s">
        <v>140</v>
      </c>
      <c r="C18" s="10" t="s">
        <v>267</v>
      </c>
    </row>
    <row r="19" spans="2:3" ht="19.5" customHeight="1" x14ac:dyDescent="0.25">
      <c r="B19" s="13" t="s">
        <v>142</v>
      </c>
      <c r="C19" s="10" t="s">
        <v>268</v>
      </c>
    </row>
    <row r="21" spans="2:3" ht="21.75" customHeight="1" x14ac:dyDescent="0.25">
      <c r="B21" s="48" t="s">
        <v>144</v>
      </c>
      <c r="C21" s="24"/>
    </row>
    <row r="22" spans="2:3" ht="19.5" customHeight="1" x14ac:dyDescent="0.25">
      <c r="B22" s="13" t="s">
        <v>145</v>
      </c>
      <c r="C22" s="10" t="s">
        <v>269</v>
      </c>
    </row>
    <row r="23" spans="2:3" ht="19.5" customHeight="1" x14ac:dyDescent="0.25">
      <c r="B23" s="13" t="s">
        <v>147</v>
      </c>
      <c r="C23" s="10" t="s">
        <v>270</v>
      </c>
    </row>
    <row r="24" spans="2:3" ht="19.5" customHeight="1" x14ac:dyDescent="0.25">
      <c r="B24" s="13" t="s">
        <v>149</v>
      </c>
      <c r="C24" s="10" t="s">
        <v>271</v>
      </c>
    </row>
    <row r="25" spans="2:3" ht="19.5" customHeight="1" x14ac:dyDescent="0.25">
      <c r="B25" s="13" t="s">
        <v>151</v>
      </c>
      <c r="C25" s="10" t="s">
        <v>152</v>
      </c>
    </row>
    <row r="27" spans="2:3" ht="21.75" customHeight="1" x14ac:dyDescent="0.25">
      <c r="B27" s="48" t="s">
        <v>153</v>
      </c>
      <c r="C27" s="24"/>
    </row>
    <row r="28" spans="2:3" ht="19.5" customHeight="1" x14ac:dyDescent="0.25">
      <c r="B28" s="13" t="s">
        <v>154</v>
      </c>
      <c r="C28" s="10" t="s">
        <v>130</v>
      </c>
    </row>
    <row r="29" spans="2:3" ht="19.5" customHeight="1" x14ac:dyDescent="0.25">
      <c r="B29" s="13" t="s">
        <v>155</v>
      </c>
      <c r="C29" s="10" t="s">
        <v>272</v>
      </c>
    </row>
    <row r="30" spans="2:3" ht="19.5" customHeight="1" x14ac:dyDescent="0.25">
      <c r="B30" s="13" t="s">
        <v>24</v>
      </c>
      <c r="C30" s="10" t="s">
        <v>129</v>
      </c>
    </row>
    <row r="31" spans="2:3" ht="19.5" customHeight="1" x14ac:dyDescent="0.25">
      <c r="B31" s="13" t="s">
        <v>157</v>
      </c>
      <c r="C31" s="10" t="s">
        <v>55</v>
      </c>
    </row>
    <row r="33" spans="2:3" ht="21.75" customHeight="1" x14ac:dyDescent="0.25">
      <c r="B33" s="48" t="s">
        <v>159</v>
      </c>
      <c r="C33" s="24"/>
    </row>
    <row r="34" spans="2:3" ht="19.5" customHeight="1" x14ac:dyDescent="0.25">
      <c r="B34" s="13" t="s">
        <v>160</v>
      </c>
      <c r="C34" s="10" t="s">
        <v>167</v>
      </c>
    </row>
    <row r="35" spans="2:3" ht="19.5" customHeight="1" x14ac:dyDescent="0.25">
      <c r="B35" s="13" t="s">
        <v>162</v>
      </c>
      <c r="C35" s="10" t="s">
        <v>273</v>
      </c>
    </row>
    <row r="36" spans="2:3" ht="19.5" customHeight="1" x14ac:dyDescent="0.25">
      <c r="B36" s="13" t="s">
        <v>164</v>
      </c>
      <c r="C36" s="10" t="s">
        <v>215</v>
      </c>
    </row>
    <row r="37" spans="2:3" ht="19.5" customHeight="1" x14ac:dyDescent="0.25">
      <c r="B37" s="13" t="s">
        <v>166</v>
      </c>
      <c r="C37" s="10" t="s">
        <v>167</v>
      </c>
    </row>
    <row r="38" spans="2:3" ht="19.5" customHeight="1" x14ac:dyDescent="0.25">
      <c r="B38" s="13" t="s">
        <v>168</v>
      </c>
      <c r="C38" s="10" t="s">
        <v>167</v>
      </c>
    </row>
    <row r="40" spans="2:3" ht="21.75" customHeight="1" x14ac:dyDescent="0.25">
      <c r="B40" s="48" t="s">
        <v>169</v>
      </c>
      <c r="C40" s="24"/>
    </row>
    <row r="41" spans="2:3" ht="19.5" customHeight="1" x14ac:dyDescent="0.25">
      <c r="B41" s="13" t="s">
        <v>170</v>
      </c>
      <c r="C41" s="10" t="s">
        <v>55</v>
      </c>
    </row>
    <row r="42" spans="2:3" ht="19.5" customHeight="1" x14ac:dyDescent="0.25">
      <c r="B42" s="13" t="s">
        <v>29</v>
      </c>
      <c r="C42" s="10" t="s">
        <v>55</v>
      </c>
    </row>
    <row r="43" spans="2:3" ht="19.5" customHeight="1" x14ac:dyDescent="0.25">
      <c r="B43" s="13" t="s">
        <v>30</v>
      </c>
      <c r="C43" s="10" t="s">
        <v>55</v>
      </c>
    </row>
    <row r="44" spans="2:3" ht="19.5" customHeight="1" x14ac:dyDescent="0.25">
      <c r="B44" s="13" t="s">
        <v>171</v>
      </c>
      <c r="C44" s="10" t="s">
        <v>55</v>
      </c>
    </row>
    <row r="46" spans="2:3" ht="21.75" customHeight="1" x14ac:dyDescent="0.25">
      <c r="B46" s="48" t="s">
        <v>173</v>
      </c>
      <c r="C46" s="24"/>
    </row>
    <row r="47" spans="2:3" ht="19.5" customHeight="1" x14ac:dyDescent="0.25">
      <c r="B47" s="13" t="s">
        <v>174</v>
      </c>
      <c r="C47" s="10" t="s">
        <v>55</v>
      </c>
    </row>
    <row r="48" spans="2:3" ht="19.5" customHeight="1" x14ac:dyDescent="0.25">
      <c r="B48" s="13" t="s">
        <v>176</v>
      </c>
      <c r="C48" s="10" t="s">
        <v>274</v>
      </c>
    </row>
    <row r="49" spans="2:3" ht="19.5" customHeight="1" x14ac:dyDescent="0.25">
      <c r="B49" s="13" t="s">
        <v>178</v>
      </c>
      <c r="C49" s="10" t="s">
        <v>55</v>
      </c>
    </row>
    <row r="50" spans="2:3" ht="19.5" customHeight="1" x14ac:dyDescent="0.25">
      <c r="B50" s="13" t="s">
        <v>179</v>
      </c>
      <c r="C50" s="10" t="s">
        <v>55</v>
      </c>
    </row>
    <row r="52" spans="2:3" ht="21.75" customHeight="1" x14ac:dyDescent="0.25">
      <c r="B52" s="48" t="s">
        <v>180</v>
      </c>
      <c r="C52" s="24"/>
    </row>
    <row r="53" spans="2:3" ht="19.5" customHeight="1" x14ac:dyDescent="0.25">
      <c r="B53" s="13" t="s">
        <v>181</v>
      </c>
      <c r="C53" s="15" t="s">
        <v>187</v>
      </c>
    </row>
    <row r="54" spans="2:3" ht="19.5" customHeight="1" x14ac:dyDescent="0.25">
      <c r="B54" s="13" t="s">
        <v>183</v>
      </c>
      <c r="C54" s="15" t="s">
        <v>187</v>
      </c>
    </row>
    <row r="55" spans="2:3" ht="19.5" customHeight="1" x14ac:dyDescent="0.25">
      <c r="B55" s="13" t="s">
        <v>184</v>
      </c>
      <c r="C55" s="12" t="s">
        <v>187</v>
      </c>
    </row>
    <row r="56" spans="2:3" ht="19.5" customHeight="1" x14ac:dyDescent="0.25">
      <c r="B56" s="13" t="s">
        <v>186</v>
      </c>
      <c r="C56" s="16" t="s">
        <v>187</v>
      </c>
    </row>
    <row r="57" spans="2:3" ht="19.5" customHeight="1" x14ac:dyDescent="0.25">
      <c r="B57" s="13" t="s">
        <v>188</v>
      </c>
      <c r="C57" s="16" t="s">
        <v>187</v>
      </c>
    </row>
    <row r="59" spans="2:3" ht="21.75" customHeight="1" x14ac:dyDescent="0.25">
      <c r="B59" s="48" t="s">
        <v>189</v>
      </c>
      <c r="C59" s="24"/>
    </row>
    <row r="60" spans="2:3" ht="18" customHeight="1" x14ac:dyDescent="0.25">
      <c r="B60" s="49"/>
      <c r="C60" s="50"/>
    </row>
    <row r="61" spans="2:3" ht="18" customHeight="1" x14ac:dyDescent="0.25">
      <c r="B61" s="51"/>
      <c r="C61" s="24"/>
    </row>
    <row r="62" spans="2:3" ht="18" customHeight="1" x14ac:dyDescent="0.25">
      <c r="B62" s="51"/>
      <c r="C62" s="24"/>
    </row>
    <row r="63" spans="2:3" ht="18" customHeight="1" x14ac:dyDescent="0.25">
      <c r="B63" s="51"/>
      <c r="C63" s="24"/>
    </row>
    <row r="64" spans="2:3" ht="18" customHeight="1" x14ac:dyDescent="0.25">
      <c r="B64" s="51"/>
      <c r="C64" s="24"/>
    </row>
  </sheetData>
  <mergeCells count="11">
    <mergeCell ref="B1:C1"/>
    <mergeCell ref="B4:C4"/>
    <mergeCell ref="B60:C64"/>
    <mergeCell ref="B52:C52"/>
    <mergeCell ref="B21:C21"/>
    <mergeCell ref="B15:C15"/>
    <mergeCell ref="B33:C33"/>
    <mergeCell ref="B59:C59"/>
    <mergeCell ref="B46:C46"/>
    <mergeCell ref="B40:C40"/>
    <mergeCell ref="B27:C27"/>
  </mergeCells>
  <conditionalFormatting sqref="C10">
    <cfRule type="expression" dxfId="2" priority="1">
      <formula>$C$10="Pipeline"</formula>
    </cfRule>
    <cfRule type="expression" dxfId="1" priority="2">
      <formula>$C$10="Catalogue"</formula>
    </cfRule>
    <cfRule type="expression" dxfId="0" priority="3">
      <formula>$C$10="Retraité"</formula>
    </cfRule>
  </conditionalFormatting>
  <dataValidations count="1">
    <dataValidation type="list" allowBlank="1" showErrorMessage="1" errorTitle="Valeur invalide" error="Choisir : Pipeline, Catalogue ou Retraité" sqref="C10" xr:uid="{FDFEC1AB-F4C6-490F-86AA-E330F06BC3FB}">
      <formula1>"Pipeline,Catalogue,Retraité"</formula1>
      <formula2>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C21"/>
  <sheetViews>
    <sheetView showGridLines="0" zoomScaleNormal="100" workbookViewId="0">
      <selection activeCell="G14" sqref="G14"/>
    </sheetView>
  </sheetViews>
  <sheetFormatPr baseColWidth="10" defaultColWidth="8.7109375" defaultRowHeight="15" x14ac:dyDescent="0.25"/>
  <cols>
    <col min="1" max="1" width="3" customWidth="1"/>
    <col min="2" max="2" width="22" customWidth="1"/>
    <col min="3" max="3" width="40" customWidth="1"/>
  </cols>
  <sheetData>
    <row r="1" spans="2:3" ht="30" customHeight="1" x14ac:dyDescent="0.25">
      <c r="B1" s="52" t="s">
        <v>275</v>
      </c>
      <c r="C1" s="24"/>
    </row>
    <row r="3" spans="2:3" ht="21.75" customHeight="1" x14ac:dyDescent="0.25">
      <c r="B3" s="21" t="s">
        <v>276</v>
      </c>
      <c r="C3" s="21" t="s">
        <v>277</v>
      </c>
    </row>
    <row r="4" spans="2:3" ht="19.5" customHeight="1" x14ac:dyDescent="0.25">
      <c r="B4" s="11" t="s">
        <v>119</v>
      </c>
      <c r="C4" s="10" t="s">
        <v>278</v>
      </c>
    </row>
    <row r="5" spans="2:3" ht="19.5" customHeight="1" x14ac:dyDescent="0.25">
      <c r="B5" s="15" t="s">
        <v>279</v>
      </c>
      <c r="C5" s="10" t="s">
        <v>280</v>
      </c>
    </row>
    <row r="6" spans="2:3" ht="19.5" customHeight="1" x14ac:dyDescent="0.25">
      <c r="B6" s="17" t="s">
        <v>281</v>
      </c>
      <c r="C6" s="10" t="s">
        <v>282</v>
      </c>
    </row>
    <row r="8" spans="2:3" ht="21.75" customHeight="1" x14ac:dyDescent="0.25">
      <c r="B8" s="21" t="s">
        <v>283</v>
      </c>
      <c r="C8" s="21" t="s">
        <v>277</v>
      </c>
    </row>
    <row r="9" spans="2:3" ht="19.5" customHeight="1" x14ac:dyDescent="0.25">
      <c r="B9" s="17" t="s">
        <v>128</v>
      </c>
      <c r="C9" s="10" t="s">
        <v>284</v>
      </c>
    </row>
    <row r="10" spans="2:3" ht="19.5" customHeight="1" x14ac:dyDescent="0.25">
      <c r="B10" s="18" t="s">
        <v>285</v>
      </c>
      <c r="C10" s="10" t="s">
        <v>286</v>
      </c>
    </row>
    <row r="11" spans="2:3" ht="19.5" customHeight="1" x14ac:dyDescent="0.25">
      <c r="B11" s="12" t="s">
        <v>120</v>
      </c>
      <c r="C11" s="10" t="s">
        <v>287</v>
      </c>
    </row>
    <row r="12" spans="2:3" ht="19.5" customHeight="1" x14ac:dyDescent="0.25">
      <c r="B12" s="15" t="s">
        <v>288</v>
      </c>
      <c r="C12" s="10" t="s">
        <v>289</v>
      </c>
    </row>
    <row r="14" spans="2:3" ht="21.75" customHeight="1" x14ac:dyDescent="0.25">
      <c r="B14" s="21" t="s">
        <v>290</v>
      </c>
      <c r="C14" s="21" t="s">
        <v>277</v>
      </c>
    </row>
    <row r="15" spans="2:3" ht="19.5" customHeight="1" x14ac:dyDescent="0.25">
      <c r="B15" s="15" t="s">
        <v>54</v>
      </c>
      <c r="C15" s="10" t="s">
        <v>291</v>
      </c>
    </row>
    <row r="16" spans="2:3" ht="19.5" customHeight="1" x14ac:dyDescent="0.25">
      <c r="B16" s="21" t="s">
        <v>36</v>
      </c>
      <c r="C16" s="10" t="s">
        <v>292</v>
      </c>
    </row>
    <row r="17" spans="2:3" ht="19.5" customHeight="1" x14ac:dyDescent="0.25">
      <c r="B17" s="17" t="s">
        <v>293</v>
      </c>
      <c r="C17" s="10" t="s">
        <v>294</v>
      </c>
    </row>
    <row r="19" spans="2:3" ht="21.75" customHeight="1" x14ac:dyDescent="0.25">
      <c r="B19" s="21" t="s">
        <v>295</v>
      </c>
      <c r="C19" s="21" t="s">
        <v>277</v>
      </c>
    </row>
    <row r="20" spans="2:3" ht="19.5" customHeight="1" x14ac:dyDescent="0.25">
      <c r="B20" s="17" t="s">
        <v>167</v>
      </c>
      <c r="C20" s="10" t="s">
        <v>296</v>
      </c>
    </row>
    <row r="21" spans="2:3" ht="19.5" customHeight="1" x14ac:dyDescent="0.25">
      <c r="B21" s="15" t="s">
        <v>161</v>
      </c>
      <c r="C21" s="10" t="s">
        <v>297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📊 Dashboard</vt:lpstr>
      <vt:lpstr>Inventaire</vt:lpstr>
      <vt:lpstr>📋 DocuTrace Lab</vt:lpstr>
      <vt:lpstr>📋 VigiUp</vt:lpstr>
      <vt:lpstr>📋 Moussanada</vt:lpstr>
      <vt:lpstr>📋 Sentinel</vt:lpstr>
      <vt:lpstr>📋 E-Services</vt:lpstr>
      <vt:lpstr>📋 GIMPS</vt:lpstr>
      <vt:lpstr>📋 Attestation Échantillons </vt:lpstr>
      <vt:lpstr>📋 e-RBI</vt:lpstr>
      <vt:lpstr>📋 Tarkhiss</vt:lpstr>
      <vt:lpstr>📋 Gestion de Délais</vt:lpstr>
      <vt:lpstr>📋 MA Tracker</vt:lpstr>
      <vt:lpstr>📋 Intranet Qualité</vt:lpstr>
      <vt:lpstr>📋 LIMS LabVantage</vt:lpstr>
      <vt:lpstr>🗺️ 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Alaoui</cp:lastModifiedBy>
  <cp:revision>0</cp:revision>
  <dcterms:created xsi:type="dcterms:W3CDTF">2026-06-01T10:03:09Z</dcterms:created>
  <dcterms:modified xsi:type="dcterms:W3CDTF">2026-06-15T08:24:16Z</dcterms:modified>
  <dc:language>en-US</dc:language>
</cp:coreProperties>
</file>